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esearch\marine mammals\Life history marine mammals\Cetacean LHE\odontocete\Archetypes\"/>
    </mc:Choice>
  </mc:AlternateContent>
  <xr:revisionPtr revIDLastSave="0" documentId="13_ncr:1_{B7D0AA3F-B5A8-49D9-B96A-503969B1F917}" xr6:coauthVersionLast="47" xr6:coauthVersionMax="47" xr10:uidLastSave="{00000000-0000-0000-0000-000000000000}"/>
  <bookViews>
    <workbookView xWindow="-110" yWindow="-110" windowWidth="19420" windowHeight="10300" xr2:uid="{D28EA8F3-4482-403A-9260-B4CEDB2D5066}"/>
  </bookViews>
  <sheets>
    <sheet name="odontocete" sheetId="1" r:id="rId1"/>
    <sheet name="References" sheetId="3" r:id="rId2"/>
    <sheet name="Readm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</calcChain>
</file>

<file path=xl/sharedStrings.xml><?xml version="1.0" encoding="utf-8"?>
<sst xmlns="http://schemas.openxmlformats.org/spreadsheetml/2006/main" count="573" uniqueCount="373">
  <si>
    <t>subo</t>
  </si>
  <si>
    <t>fam</t>
  </si>
  <si>
    <t>sp</t>
  </si>
  <si>
    <t>name</t>
  </si>
  <si>
    <t>code</t>
  </si>
  <si>
    <t>group</t>
  </si>
  <si>
    <t>clus</t>
  </si>
  <si>
    <t>len</t>
  </si>
  <si>
    <t>loglen</t>
  </si>
  <si>
    <t>weight</t>
  </si>
  <si>
    <t>logwt</t>
  </si>
  <si>
    <t>wtpred</t>
  </si>
  <si>
    <t>wtresid</t>
  </si>
  <si>
    <t>gest</t>
  </si>
  <si>
    <t>loggest</t>
  </si>
  <si>
    <t>gestpred</t>
  </si>
  <si>
    <t>gestresid</t>
  </si>
  <si>
    <t>inter</t>
  </si>
  <si>
    <t>loginter</t>
  </si>
  <si>
    <t>interpred</t>
  </si>
  <si>
    <t>interresid</t>
  </si>
  <si>
    <t>long</t>
  </si>
  <si>
    <t>loglong</t>
  </si>
  <si>
    <t>longpred</t>
  </si>
  <si>
    <t>longresid</t>
  </si>
  <si>
    <t>neolen</t>
  </si>
  <si>
    <t>logneo</t>
  </si>
  <si>
    <t>neoresid</t>
  </si>
  <si>
    <t>neopred</t>
  </si>
  <si>
    <t>asm</t>
  </si>
  <si>
    <t>logasm</t>
  </si>
  <si>
    <t>asmpred</t>
  </si>
  <si>
    <t>asmresid</t>
  </si>
  <si>
    <t>lbathy</t>
  </si>
  <si>
    <t>bathymean</t>
  </si>
  <si>
    <t>Ice15sMean</t>
  </si>
  <si>
    <t>latmean</t>
  </si>
  <si>
    <t>ablat</t>
  </si>
  <si>
    <t>Odontoceti</t>
  </si>
  <si>
    <t>Delphinidae</t>
  </si>
  <si>
    <t>Cephalorhynchus commersonii</t>
  </si>
  <si>
    <t>Commerson?s dolphin</t>
  </si>
  <si>
    <t>Cco</t>
  </si>
  <si>
    <t>R</t>
  </si>
  <si>
    <t>.</t>
  </si>
  <si>
    <t>Cephalorhynchus heavisidii</t>
  </si>
  <si>
    <t>Heaviside?s dolphin</t>
  </si>
  <si>
    <t>Che</t>
  </si>
  <si>
    <t>Cephalorhynchus hectori</t>
  </si>
  <si>
    <t>Hector?s dolphin</t>
  </si>
  <si>
    <t>Chc</t>
  </si>
  <si>
    <t>Delphinus delphis</t>
  </si>
  <si>
    <t>Common dolphin</t>
  </si>
  <si>
    <t>Dde</t>
  </si>
  <si>
    <t>Globicephala macrorhynchus</t>
  </si>
  <si>
    <t>Short-finned pilot whale</t>
  </si>
  <si>
    <t>Gma</t>
  </si>
  <si>
    <t>B</t>
  </si>
  <si>
    <t>Globicephala melas</t>
  </si>
  <si>
    <t>Long-finned pilot whale</t>
  </si>
  <si>
    <t>Gme</t>
  </si>
  <si>
    <t>Grampus griseus</t>
  </si>
  <si>
    <t>Risso?s dolphin, grampus</t>
  </si>
  <si>
    <t>Ggr</t>
  </si>
  <si>
    <t>Lagenodelphis hosei</t>
  </si>
  <si>
    <t>Fraser?s dolphin</t>
  </si>
  <si>
    <t>Lho</t>
  </si>
  <si>
    <t>Lagenorhynchus acutus</t>
  </si>
  <si>
    <t>Atlantic white-sided dolphin</t>
  </si>
  <si>
    <t>Lac</t>
  </si>
  <si>
    <t>Lagenorhynchus albirostris</t>
  </si>
  <si>
    <t>White-beaked dolphin</t>
  </si>
  <si>
    <t>Lagenorhynchus obliquidens</t>
  </si>
  <si>
    <t>Pacific white-sided dolphin</t>
  </si>
  <si>
    <t>Lob</t>
  </si>
  <si>
    <t>Lagenorhynchus obscurus</t>
  </si>
  <si>
    <t>Dusky dolphin</t>
  </si>
  <si>
    <t>Los</t>
  </si>
  <si>
    <t>Orcaella brevirostris</t>
  </si>
  <si>
    <t>Irrawaddy dolphin</t>
  </si>
  <si>
    <t>Obr</t>
  </si>
  <si>
    <t>Orcinus orca</t>
  </si>
  <si>
    <t>Killer whale, orca</t>
  </si>
  <si>
    <t>Oor</t>
  </si>
  <si>
    <t>Peponocephala electra</t>
  </si>
  <si>
    <t>Melon-headed whale</t>
  </si>
  <si>
    <t>Pel</t>
  </si>
  <si>
    <t>Pseudorca crassidens</t>
  </si>
  <si>
    <t>False killer whale</t>
  </si>
  <si>
    <t>Pcr</t>
  </si>
  <si>
    <t>Sotalia fluviatilis</t>
  </si>
  <si>
    <t>Tucuxi</t>
  </si>
  <si>
    <t>Sfl</t>
  </si>
  <si>
    <t>Stenella attenuata</t>
  </si>
  <si>
    <t>Pantropical spotted dolphin</t>
  </si>
  <si>
    <t>Sat</t>
  </si>
  <si>
    <t>Stenella coeruleoalba</t>
  </si>
  <si>
    <t>Striped dolphin</t>
  </si>
  <si>
    <t>Sco</t>
  </si>
  <si>
    <t>Stenella frontalis</t>
  </si>
  <si>
    <t>Atlantic spotted dolphin</t>
  </si>
  <si>
    <t>Sfr</t>
  </si>
  <si>
    <t>Stenella longirostris</t>
  </si>
  <si>
    <t>Spinner dolphin</t>
  </si>
  <si>
    <t>Slo</t>
  </si>
  <si>
    <t>Tursiops aduncus</t>
  </si>
  <si>
    <t>Indo-Pacific bottlenose dolphin</t>
  </si>
  <si>
    <t>Tursiops truncatus</t>
  </si>
  <si>
    <t>Common bottlenose dolphin</t>
  </si>
  <si>
    <t>Ttr</t>
  </si>
  <si>
    <t>Steno bredanensis</t>
  </si>
  <si>
    <t>Rough-toothed dolphin</t>
  </si>
  <si>
    <t>Sbr</t>
  </si>
  <si>
    <t>Kogiidae</t>
  </si>
  <si>
    <t>Kogia breviceps</t>
  </si>
  <si>
    <t>Pygmy sperm whale</t>
  </si>
  <si>
    <t>Kbr</t>
  </si>
  <si>
    <t>Kogia sima</t>
  </si>
  <si>
    <t>Dwarf sperm whale</t>
  </si>
  <si>
    <t>Monodontidae</t>
  </si>
  <si>
    <t>Delphinapterus leucas</t>
  </si>
  <si>
    <t>Beluga whale</t>
  </si>
  <si>
    <t>Dle</t>
  </si>
  <si>
    <t>Monodon monoceros</t>
  </si>
  <si>
    <t>Narwhal</t>
  </si>
  <si>
    <t>Mmo</t>
  </si>
  <si>
    <t>Phocoenidae</t>
  </si>
  <si>
    <t>Neophocaena phocaenoides</t>
  </si>
  <si>
    <t>Indo-Pacific finless porpoise</t>
  </si>
  <si>
    <t>Nph</t>
  </si>
  <si>
    <t>Phocoena dioptrica</t>
  </si>
  <si>
    <t>Spectacled porpoise</t>
  </si>
  <si>
    <t>Pdi</t>
  </si>
  <si>
    <t>Phocoena phocoena</t>
  </si>
  <si>
    <t>Harbor porpoise</t>
  </si>
  <si>
    <t>Pph</t>
  </si>
  <si>
    <t>Phocoena sinus</t>
  </si>
  <si>
    <t>Vaquita</t>
  </si>
  <si>
    <t>Psi</t>
  </si>
  <si>
    <t>Phocoena spinipinnis</t>
  </si>
  <si>
    <t>Burmeister?s porpoise</t>
  </si>
  <si>
    <t>Psp</t>
  </si>
  <si>
    <t>Phocoenoides dalli</t>
  </si>
  <si>
    <t>Dall?s porpoise</t>
  </si>
  <si>
    <t>Pda</t>
  </si>
  <si>
    <t>Physeteridae</t>
  </si>
  <si>
    <t>Physeter macrocephalus</t>
  </si>
  <si>
    <t>Sperm whale</t>
  </si>
  <si>
    <t>Pma</t>
  </si>
  <si>
    <t>Ziphiidae</t>
  </si>
  <si>
    <t>Berardius bairdii</t>
  </si>
  <si>
    <t>Baird?s beaked whale</t>
  </si>
  <si>
    <t>Bba</t>
  </si>
  <si>
    <t>Hyperoodon ampullatus</t>
  </si>
  <si>
    <t>Northern bottlenose whale</t>
  </si>
  <si>
    <t>Ham</t>
  </si>
  <si>
    <t>Mesoplodon carlhubbsi</t>
  </si>
  <si>
    <t>Hubbs? beaked whale</t>
  </si>
  <si>
    <t>Mesoplodon europaeus</t>
  </si>
  <si>
    <t>Gervais? beaked whale</t>
  </si>
  <si>
    <t>Mesoplodon densirostris</t>
  </si>
  <si>
    <t>Blainville?s beaked whale</t>
  </si>
  <si>
    <t>Mde</t>
  </si>
  <si>
    <t>Ziphius cavirostris</t>
  </si>
  <si>
    <t>Cuvier?s beaked whale</t>
  </si>
  <si>
    <t>Zca</t>
  </si>
  <si>
    <t>Mesoplodon bidens</t>
  </si>
  <si>
    <t>Sowerby?s beaked whale</t>
  </si>
  <si>
    <t>Raw data odontocete.csv</t>
  </si>
  <si>
    <t>*Ferguson, S.H., Higdon, J.W., Schmidt, C., Pomerleau, C. and Matthews, C.J., 2023. Investigating the relationship between body shape and life history traits in toothed whales: Can body shape predict fast-slow life histories?. Evolutionary Biology, 50(3), pp.300-317.</t>
  </si>
  <si>
    <t>#Ferguson, S.H. and Higdon, J.W., 2013. Grouping world cetaceans according to life-history characteristics indicates two divergent strategies. Canadian Wildlife Biology &amp; Management, 2, pp.51-66.</t>
  </si>
  <si>
    <t>#Life-history values (body length, weight, gestation length, interbirth interval, neonate length, and age of sexual maturity) are mean values of references, whereas longevity was the oldest reported individual.</t>
  </si>
  <si>
    <t>Fast</t>
  </si>
  <si>
    <t>Slow</t>
  </si>
  <si>
    <t>Bet</t>
  </si>
  <si>
    <t>References</t>
  </si>
  <si>
    <t>57,70,72,78,130,135</t>
  </si>
  <si>
    <t>35,51,52,84,130</t>
  </si>
  <si>
    <t>14,35,57</t>
  </si>
  <si>
    <t>35,57,130,147,148</t>
  </si>
  <si>
    <t>21,23,24,57,101,143,151</t>
  </si>
  <si>
    <t>74,75,107</t>
  </si>
  <si>
    <t>36,57,88,107</t>
  </si>
  <si>
    <t>57,94,108</t>
  </si>
  <si>
    <t>57,90,134</t>
  </si>
  <si>
    <t>37,57,67,116,120</t>
  </si>
  <si>
    <t>31,57</t>
  </si>
  <si>
    <t>6,57,59,78,94,130,144,153,156,157,161</t>
  </si>
  <si>
    <t>18,38,44,56,57,58,85,129,152</t>
  </si>
  <si>
    <t>1,57,82,130,145</t>
  </si>
  <si>
    <t>4,57,82,87,130</t>
  </si>
  <si>
    <t>41,57,106,118,141,153,154</t>
  </si>
  <si>
    <t>19,28,118,121,122</t>
  </si>
  <si>
    <t>20,45,46,47,48,57,126,130,146</t>
  </si>
  <si>
    <t>27,57,138</t>
  </si>
  <si>
    <t>2,57,64,65,71,130</t>
  </si>
  <si>
    <t>9,10,11,12,13,15,29,38,42,53,57,80,102,103,130,134,136,159</t>
  </si>
  <si>
    <t>5,57,118,125,140,150</t>
  </si>
  <si>
    <t>60,93,99,114,117,130</t>
  </si>
  <si>
    <t>57,66,94,96,118,119,132</t>
  </si>
  <si>
    <t>57,80,158</t>
  </si>
  <si>
    <t>57,61,78,91,94</t>
  </si>
  <si>
    <t>subo = suborder, fam = family, sp = scientific species name, references -&gt; see tab, name = common name, group = Archetype, clus = cluster*, len = adult body length (m), loglen = log(len), weight = adult body weight (g), logwt = log(wt), wtpred = predicted weight controlled for body length, wtresid = residual weight from log(wt) ~ log(len), gest = gestation length (mo), loggest = log(gest), gestpred = predicted gestation length from regression, gestresid = residual gestation from log(gest) ~ log(len), Same four variables for inter = interbirth interval, long = longevity (y), neolen = neonate length (m) at birth, asm = age at sexual maturation (y), lbathy = log(bathymetry), Ice15sMed = Median number of months in a year with sea ice, ablat = absolute value of latitude</t>
  </si>
  <si>
    <t>Banfield, A.W.F. 1974. The Mammals of Canada. University of Toronto Press, Toronto</t>
  </si>
  <si>
    <t>Berzin, A.A. 1972. The Sperm Whale. Israel Program for Science Translations. Keter Press, Jeruselum.</t>
  </si>
  <si>
    <t>Desportes, G., D. Bloch, L.W. Anderson, and R. Mouritsen. 1992. The international research program on the ecology and status of the long-finned pilot whale off the Faroe Islands. Frodskeparrit 40:9-29</t>
  </si>
  <si>
    <t>Ellis, R. 1980. The book of whales. A.A. Knopf Inc., New York</t>
  </si>
  <si>
    <t xml:space="preserve">Frazer, J.F.D. 1973. Specific feotal growth rates of Cetaceans. Journal of Zoology. 169:111-126 </t>
  </si>
  <si>
    <t>Haley,D., 1978. Marine Mammals of Eastern North Pacific and Arctic waters. Pacific Search Press, Seattle.</t>
  </si>
  <si>
    <t>Hayssen, V.D., A.V. Tienhoven, S.A. Asdell. 1993. Asdell’s patterns of mammalian reproduction: a compendium of species-specific data. Cornell University Press, Ithaca, NY.</t>
  </si>
  <si>
    <t>Horwood, J.W. 1990. Biology and exploitation of the minke whale. CRC Press, Boca Raton, Florida</t>
  </si>
  <si>
    <t>Kasuya, T. 1977. Age determination and growth of the Baird’s beaked whale with a comment on the fetal growth rate. The Scientific Reports of the Whales Research Institute. 29:1-20</t>
  </si>
  <si>
    <t>________. 1978. The life history of Dall’s porpoise with special reference to the stock off the Pacific coast of Japan The Scientific Reports of the Whales Research Institute. 30:1-63</t>
  </si>
  <si>
    <t>Klinowska, M. and J. Cooke. 1991. Dolphins, porpoises, and whales of the world: the IUCN red data book. IUCN (World Conservation Union), Gland, Switzerland</t>
  </si>
  <si>
    <t>Leatherwood, S., D.K. Caldwell, and H.E. Winn. 1976. Whales,dolphins and porpoises of the western North Atlantic: a guide to their identification. NOAA Technical Report NMFS Circular.United States National Marine Fisheries Service, National Oceanic and Atmospheric Administration, National Marine Fisheries Service. Seattle, WA.</t>
  </si>
  <si>
    <t>Lekagul, B. and J.A. Mc Neely. 1977. Mammals of Thailand. Association for the Conservation of Wildlife. Kurupha Ladprao Press, Bangkok.</t>
  </si>
  <si>
    <t>Lockyer, C. 1984 Review of baleen whale (Mysticeti) reproduction and implications for management. Pages 27-50 in W.F. Perrin, R.L Brownell and D.P. DeMasters, eds. Reproduction in Whales, Dolphins and Porpoises. Report of the International Whaling Commission. Special Issue 6</t>
  </si>
  <si>
    <t>Masaki,Y. 1978. Yearly change in the biological parameters of the Antarctic sei whale. Report of the International Whaling Commision. 28:421-429</t>
  </si>
  <si>
    <t>Mitchell, E.D. 1975. Report of the meeting on smaller Cetaceans, Montreal, April 1-11, 1974.  Journal of the Fisheries Research Board of Canada. 32:889-983</t>
  </si>
  <si>
    <t>Nerini, M.K, H.W. Braham, W.M. Marquette, and D.J. Rugh. 1984. Life history of the Bowhead whale, Balaena mysticetus (Mammalia: Cetacea) Journal of Zoology. 204: 443-468</t>
  </si>
  <si>
    <t>Ohsumi, S. 1965. Reproduction of the sperm whale in the north-west Pacific. The Scientific Reports of the Whales Research Institute. 19:1-35</t>
  </si>
  <si>
    <t>________. 1966. Sexual segregation of the sperm whale in the North Pacific. The Scientific Reports of the Whales Research Institute. 20:1-16</t>
  </si>
  <si>
    <t>Ohsumi, S., and, Y. Masaki. 1975. Biological parameters of the Antarctic minke whale at the virginal population level.  Journal of the Fisheries Research Board of Canada. 32:995-1004</t>
  </si>
  <si>
    <t>Ohsumi, S.,Y. Masaki, and A. Kawamura. 1970. Stock of the Antarctic minke whale. The Scientific Reports of the Whales Research Institute.22:75-110</t>
  </si>
  <si>
    <t>Slooten,E. 1991. Age ,growth, and reproduction in Hector’s dolphin. Canadian Journal of Zoology. 69:1689-1700</t>
  </si>
  <si>
    <t>U.S. (United States) National Marine Fisheries Service. 1978. The Marine Mammal Protection Act of 1972: Annual Report 1977-78. Washington, D.C.</t>
  </si>
  <si>
    <t>U.S. (United States) National Marine Fisheries Service. 1981. The Marine Mammal Protection Act of 1972: Annual Report, 1980-81. Washington, D.C.</t>
  </si>
  <si>
    <t>Ferguson SH, Higdon JW, Schmidt C, Pomerleau C, Matthews CJ. Investigating the relationship between body shape and life history traits in toothed whales: can body shape predict fast-slow life histories? Evol Biol. 2023;50(3):300–17.</t>
  </si>
  <si>
    <t>Feyrer LJ, Zhao ST, Whitehead H, Matthews CJ. Prolonged maternal investment in northern bottlenose whales alters our understanding of beaked whale reproductive life history. PLoS ONE. 2020;15(6):e0235114.</t>
  </si>
  <si>
    <t>Jones, K.E., Bielby, J., Cardillo, M., Fritz, S.A., O'Dell, J., Orme, C.D.L., Safi, K., Sechrest, W., Boakes, E.H., Carbone, C., Connolly, C., Cutts, M.J., Foster, J.K., Grenyer, R., Habib, M., Plaster, C.A., Price, S.A., Rigby, E.A., Rist, J., Teacher, A., Bininda-Emonds, O.R.P., Gittleman, J.L., Mace, G.M., and Purvis, A. 2009. PanTHERIA: a species‐level database of life history, ecology, and geography of extant and recently extinct mammals (Ecological Archives E090‐184). Ecology 90(9): 2648-2648.</t>
  </si>
  <si>
    <t>Tacutu, R., Thornton, D., Johnson, E., Budovsky, A., Barardo, D., Craig, T., Diana, E., Lehmann, G., Toren, D., Wang, J., Fraifeld, V. E., de Magalhaes, J. P. (2018) "Human Ageing Genomic Resources: new and updated databases." Nucleic Acids Research 46(D1):D1083-D1090.</t>
  </si>
  <si>
    <t>Würsig, B., Thewissen, J.G.M. and Kovacs, K.M. eds., 2017. Encyclopedia of marine mammals. Academic Press.</t>
  </si>
  <si>
    <t>8,57,92,169</t>
  </si>
  <si>
    <r>
      <t>Amano, M. 2002. Finless Porpoise:</t>
    </r>
    <r>
      <rPr>
        <i/>
        <sz val="10"/>
        <color indexed="8"/>
        <rFont val="Aptos Narrow"/>
        <family val="2"/>
      </rPr>
      <t>Neophocaena phocaenoides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432-435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</si>
  <si>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Amano, M., and T. Kuramochi. 1992. Segragative migration of Dall’s porpoise (</t>
    </r>
    <r>
      <rPr>
        <i/>
        <sz val="10"/>
        <color indexed="8"/>
        <rFont val="Aptos Narrow"/>
        <family val="2"/>
      </rPr>
      <t>Phocoenoides dalli</t>
    </r>
    <r>
      <rPr>
        <sz val="10"/>
        <color indexed="8"/>
        <rFont val="Aptos Narrow"/>
        <family val="2"/>
      </rPr>
      <t>) in the Sea of Japan and the Sea of Okhotsk. Marine Mammal Science. 8:143-151</t>
    </r>
  </si>
  <si>
    <r>
      <t xml:space="preserve">Archer, F.I., and W.F. Perrin. 1999. </t>
    </r>
    <r>
      <rPr>
        <i/>
        <sz val="10"/>
        <color indexed="8"/>
        <rFont val="Aptos Narrow"/>
        <family val="2"/>
      </rPr>
      <t>Stenella coeruleoalba</t>
    </r>
    <r>
      <rPr>
        <sz val="10"/>
        <color indexed="8"/>
        <rFont val="Aptos Narrow"/>
        <family val="2"/>
      </rPr>
      <t>. Mammalian Species. 603: 1-9</t>
    </r>
  </si>
  <si>
    <r>
      <t xml:space="preserve">Arnold, P.W. 2002 Irrawaddy Dolphin: </t>
    </r>
    <r>
      <rPr>
        <i/>
        <sz val="10"/>
        <color indexed="8"/>
        <rFont val="Aptos Narrow"/>
        <family val="2"/>
      </rPr>
      <t>Orcaella brevirostris</t>
    </r>
    <r>
      <rPr>
        <sz val="10"/>
        <color indexed="8"/>
        <rFont val="Aptos Narrow"/>
        <family val="2"/>
      </rPr>
      <t xml:space="preserve">. Pages 652-654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</si>
  <si>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Baird, R.W. 2002 False Killer Whale:</t>
    </r>
    <r>
      <rPr>
        <i/>
        <sz val="10"/>
        <color indexed="8"/>
        <rFont val="Aptos Narrow"/>
        <family val="2"/>
      </rPr>
      <t>Pseudorca crassidens</t>
    </r>
    <r>
      <rPr>
        <sz val="10"/>
        <color indexed="8"/>
        <rFont val="Aptos Narrow"/>
        <family val="2"/>
      </rPr>
      <t xml:space="preserve"> Pages 411-412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</si>
  <si>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Bannister, J.L. 2002. Baleen Whales: Mysticetes. Page 63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Thewissen,eds. Encyclopedia of Marine Mammals. Academic Press. San Diego, California.</t>
    </r>
  </si>
  <si>
    <r>
      <t xml:space="preserve">Benjaminsen, T., and I. Christensen. 1979. The natural history of the bottlenose whale </t>
    </r>
    <r>
      <rPr>
        <i/>
        <sz val="10"/>
        <color indexed="8"/>
        <rFont val="Aptos Narrow"/>
        <family val="2"/>
      </rPr>
      <t>Hyperoodon ampullatus</t>
    </r>
    <r>
      <rPr>
        <sz val="10"/>
        <color indexed="8"/>
        <rFont val="Aptos Narrow"/>
        <family val="2"/>
      </rPr>
      <t xml:space="preserve"> (Forster). Pages 143-164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H.E. Winn and B.L. Olla, eds. Behavior of Marine animals, Vol 3: Cetaceans. Plenum Press, New York.</t>
    </r>
  </si>
  <si>
    <r>
      <t>Best, P.B. 1968. The sperm whale (</t>
    </r>
    <r>
      <rPr>
        <i/>
        <sz val="10"/>
        <color indexed="8"/>
        <rFont val="Aptos Narrow"/>
        <family val="2"/>
      </rPr>
      <t>Physeter catodon</t>
    </r>
    <r>
      <rPr>
        <sz val="10"/>
        <color indexed="8"/>
        <rFont val="Aptos Narrow"/>
        <family val="2"/>
      </rPr>
      <t>) off the west coast of South Africa. 2. Reproduction in the female. South African Division of Sea Fisheries Investigative Report 66:1-32</t>
    </r>
  </si>
  <si>
    <r>
      <t>________. 1970. The sperm whale (</t>
    </r>
    <r>
      <rPr>
        <i/>
        <sz val="10"/>
        <color indexed="8"/>
        <rFont val="Aptos Narrow"/>
        <family val="2"/>
      </rPr>
      <t>Physeter catodon</t>
    </r>
    <r>
      <rPr>
        <sz val="10"/>
        <color indexed="8"/>
        <rFont val="Aptos Narrow"/>
        <family val="2"/>
      </rPr>
      <t>) off the west coast of South Africa. 5. Age, growth, and mortality. South African Division of Sea Fisheries Investigative Report 79:1-27</t>
    </r>
  </si>
  <si>
    <r>
      <t xml:space="preserve">________. 1974. The biology of the sperm whale as it relates to stock management. Pages 257-293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W.E. Schevill, ed. The whale problem: A status report. Harvard University Press, Cambridge,MA.</t>
    </r>
  </si>
  <si>
    <r>
      <t xml:space="preserve">________. Social organization of sperm whales, </t>
    </r>
    <r>
      <rPr>
        <i/>
        <sz val="10"/>
        <color indexed="8"/>
        <rFont val="Aptos Narrow"/>
        <family val="2"/>
      </rPr>
      <t>Physeter macrocephalus</t>
    </r>
    <r>
      <rPr>
        <sz val="10"/>
        <color indexed="8"/>
        <rFont val="Aptos Narrow"/>
        <family val="2"/>
      </rPr>
      <t xml:space="preserve">. Pages 227-289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H.E. Winn and B.L. Olla, eds. Behavior of Marine animals, Vol 3: Cetaceans. Plenum Press, New York.</t>
    </r>
  </si>
  <si>
    <r>
      <t xml:space="preserve">Best, P.B. and R.B. Abernathy. 1994. Heaviside’s dolphin </t>
    </r>
    <r>
      <rPr>
        <i/>
        <sz val="10"/>
        <color indexed="8"/>
        <rFont val="Aptos Narrow"/>
        <family val="2"/>
      </rPr>
      <t>Cephalorhynchus heavisidii</t>
    </r>
    <r>
      <rPr>
        <sz val="10"/>
        <color indexed="8"/>
        <rFont val="Aptos Narrow"/>
        <family val="2"/>
      </rPr>
      <t xml:space="preserve"> (Gray, 1828). Pages 289-310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</si>
  <si>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Best, P.B., P.A.S. Canham and N. MacLeod. 1984. Patterns of reproduction in sperm whales, </t>
    </r>
    <r>
      <rPr>
        <i/>
        <sz val="10"/>
        <color indexed="8"/>
        <rFont val="Aptos Narrow"/>
        <family val="2"/>
      </rPr>
      <t xml:space="preserve">Physeter macrocephalus. </t>
    </r>
    <r>
      <rPr>
        <sz val="10"/>
        <color indexed="8"/>
        <rFont val="Aptos Narrow"/>
        <family val="2"/>
      </rPr>
      <t>Pages 51-79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  <r>
      <rPr>
        <i/>
        <sz val="10"/>
        <color indexed="8"/>
        <rFont val="Aptos Narrow"/>
        <family val="2"/>
      </rPr>
      <t xml:space="preserve"> </t>
    </r>
  </si>
  <si>
    <r>
      <t xml:space="preserve">Best, R.C., and V.M.F. Da Silva. 1984. Preliminary Analysis of reproductive parameters of the boutu, </t>
    </r>
    <r>
      <rPr>
        <i/>
        <sz val="10"/>
        <color indexed="8"/>
        <rFont val="Aptos Narrow"/>
        <family val="2"/>
      </rPr>
      <t>Inia geoffrensis</t>
    </r>
    <r>
      <rPr>
        <sz val="10"/>
        <color indexed="8"/>
        <rFont val="Aptos Narrow"/>
        <family val="2"/>
      </rPr>
      <t xml:space="preserve">, and the tucuxi, </t>
    </r>
    <r>
      <rPr>
        <i/>
        <sz val="10"/>
        <color indexed="8"/>
        <rFont val="Aptos Narrow"/>
        <family val="2"/>
      </rPr>
      <t>Sotalia fluviatilis</t>
    </r>
    <r>
      <rPr>
        <sz val="10"/>
        <color indexed="8"/>
        <rFont val="Aptos Narrow"/>
        <family val="2"/>
      </rPr>
      <t xml:space="preserve">, in the Amazon River System. Pages 361-369 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</si>
  <si>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Best, R.C., and V.M.F. Da Silva 1989. Biology, status and conservation of </t>
    </r>
    <r>
      <rPr>
        <i/>
        <sz val="10"/>
        <color indexed="8"/>
        <rFont val="Aptos Narrow"/>
        <family val="2"/>
      </rPr>
      <t>Inia geoffrensis</t>
    </r>
    <r>
      <rPr>
        <sz val="10"/>
        <color indexed="8"/>
        <rFont val="Aptos Narrow"/>
        <family val="2"/>
      </rPr>
      <t xml:space="preserve"> in the Amazon and Orinco river basins. Pages 23-34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R.L. Brownell, Jr., Z. Kaiya, L. Jiakang, eds. Biology and Conservation of the River Dolphins,3</t>
    </r>
    <r>
      <rPr>
        <vertAlign val="superscript"/>
        <sz val="10"/>
        <color indexed="8"/>
        <rFont val="Aptos Narrow"/>
        <family val="2"/>
      </rPr>
      <t>rd</t>
    </r>
    <r>
      <rPr>
        <sz val="10"/>
        <color indexed="8"/>
        <rFont val="Aptos Narrow"/>
        <family val="2"/>
      </rPr>
      <t xml:space="preserve"> edition. Occassional Papers/IUCN/SSC. The World Conservation Union. Gland, Switzerland.</t>
    </r>
  </si>
  <si>
    <r>
      <t>Best, R.C., and H.D. Fisher. 1974. Seasonal breeding of the narwhal (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 xml:space="preserve"> l.) Canadian Journal of Zoology. 52:429-431</t>
    </r>
  </si>
  <si>
    <r>
      <t xml:space="preserve">Best, P.B., and P.D. Shaughnessy.1981. First record of the melon-headed whale </t>
    </r>
    <r>
      <rPr>
        <i/>
        <sz val="10"/>
        <color indexed="8"/>
        <rFont val="Aptos Narrow"/>
        <family val="2"/>
      </rPr>
      <t>Peponocephala electra</t>
    </r>
    <r>
      <rPr>
        <sz val="10"/>
        <color indexed="8"/>
        <rFont val="Aptos Narrow"/>
        <family val="2"/>
      </rPr>
      <t xml:space="preserve"> from South Africa. Annals of the South African Museum. 83:33-47</t>
    </r>
  </si>
  <si>
    <r>
      <t xml:space="preserve">Borge,A., and K.A. Tolley. 2002. Harbor Porpoise: </t>
    </r>
    <r>
      <rPr>
        <i/>
        <sz val="10"/>
        <color indexed="8"/>
        <rFont val="Aptos Narrow"/>
        <family val="2"/>
      </rPr>
      <t>Phocoena phocoena</t>
    </r>
    <r>
      <rPr>
        <sz val="10"/>
        <color indexed="8"/>
        <rFont val="Aptos Narrow"/>
        <family val="2"/>
      </rPr>
      <t xml:space="preserve">. Pages 549-551 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</si>
  <si>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Braham, H.W. 1984. Review of reproduction in the white whale, </t>
    </r>
    <r>
      <rPr>
        <i/>
        <sz val="10"/>
        <color indexed="8"/>
        <rFont val="Aptos Narrow"/>
        <family val="2"/>
      </rPr>
      <t>Delphinapterus leucas</t>
    </r>
    <r>
      <rPr>
        <sz val="10"/>
        <color indexed="8"/>
        <rFont val="Aptos Narrow"/>
        <family val="2"/>
      </rPr>
      <t xml:space="preserve">, narwhal,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 xml:space="preserve">, and Irrawaddy dolphin, </t>
    </r>
    <r>
      <rPr>
        <i/>
        <sz val="10"/>
        <color indexed="8"/>
        <rFont val="Aptos Narrow"/>
        <family val="2"/>
      </rPr>
      <t>Orcaella brevirostris</t>
    </r>
    <r>
      <rPr>
        <sz val="10"/>
        <color indexed="8"/>
        <rFont val="Aptos Narrow"/>
        <family val="2"/>
      </rPr>
      <t>, with comments on stock assessment. Pages 81- 89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</si>
  <si>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>Breiwick, J.M., L.L. Eberhardt, and H.W.Braham. 1984. Population dynamics of western arctic bowhead whales (</t>
    </r>
    <r>
      <rPr>
        <i/>
        <sz val="10"/>
        <color indexed="8"/>
        <rFont val="Aptos Narrow"/>
        <family val="2"/>
      </rPr>
      <t>Balaena mysticetus</t>
    </r>
    <r>
      <rPr>
        <sz val="10"/>
        <color indexed="8"/>
        <rFont val="Aptos Narrow"/>
        <family val="2"/>
      </rPr>
      <t>.). Canadian Journal of Fisheries and Aquatic Sciences. 41:484-496</t>
    </r>
  </si>
  <si>
    <r>
      <t>Brodie, P.F. 1971. A reconsideration of aspects of growth, reproduction, and behavior of the white whale (</t>
    </r>
    <r>
      <rPr>
        <i/>
        <sz val="10"/>
        <color indexed="8"/>
        <rFont val="Aptos Narrow"/>
        <family val="2"/>
      </rPr>
      <t>Delphinapterus leucas</t>
    </r>
    <r>
      <rPr>
        <sz val="10"/>
        <color indexed="8"/>
        <rFont val="Aptos Narrow"/>
        <family val="2"/>
      </rPr>
      <t>), with reference to the Cumberland Sound, Baffin Island, population. Journal of the Fisheries and Research Board of Canada. 28:1309-18</t>
    </r>
  </si>
  <si>
    <r>
      <t xml:space="preserve">________. 1989. The white whale </t>
    </r>
    <r>
      <rPr>
        <i/>
        <sz val="10"/>
        <color indexed="8"/>
        <rFont val="Aptos Narrow"/>
        <family val="2"/>
      </rPr>
      <t>Delphinapterus leucas</t>
    </r>
    <r>
      <rPr>
        <sz val="10"/>
        <color indexed="8"/>
        <rFont val="Aptos Narrow"/>
        <family val="2"/>
      </rPr>
      <t xml:space="preserve"> (Pallas, 1776). Pages 119-144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 of Marine Mammals, Vol 4. Academic Press, London.</t>
    </r>
  </si>
  <si>
    <r>
      <t xml:space="preserve">Brownell, R.L.,Jr. 1975. Progress report on the biology of the Franciscana dolphin, </t>
    </r>
    <r>
      <rPr>
        <i/>
        <sz val="10"/>
        <color indexed="8"/>
        <rFont val="Aptos Narrow"/>
        <family val="2"/>
      </rPr>
      <t>Pontoporia blainvillei</t>
    </r>
    <r>
      <rPr>
        <sz val="10"/>
        <color indexed="8"/>
        <rFont val="Aptos Narrow"/>
        <family val="2"/>
      </rPr>
      <t>, in Uruguayan waters. Journal of the Fisheries and Research Board of Canada. 32: 1073-1078</t>
    </r>
  </si>
  <si>
    <r>
      <t xml:space="preserve">________. 1984. Review of reproduction in platanistid dolphins. Pages. 149-158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</si>
  <si>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Brownell,R.L., Jr., L.T. Findley, O. Vidal, A. Robles, and S. Manzanilla N. 1987. External morphology and pigmentation of the vaquita, </t>
    </r>
    <r>
      <rPr>
        <i/>
        <sz val="10"/>
        <color indexed="8"/>
        <rFont val="Aptos Narrow"/>
        <family val="2"/>
      </rPr>
      <t>Phocoena sinus</t>
    </r>
    <r>
      <rPr>
        <sz val="10"/>
        <color indexed="8"/>
        <rFont val="Aptos Narrow"/>
        <family val="2"/>
      </rPr>
      <t xml:space="preserve"> (Cetacea: Mammalia). Marine Mammal Science. 3:22-30</t>
    </r>
  </si>
  <si>
    <r>
      <t xml:space="preserve">Bryden, M.M., R.J. Harrison, R.J. Lear.1977. Some aspects of the biology of </t>
    </r>
    <r>
      <rPr>
        <i/>
        <sz val="10"/>
        <color indexed="8"/>
        <rFont val="Aptos Narrow"/>
        <family val="2"/>
      </rPr>
      <t>Peponocephala electra</t>
    </r>
    <r>
      <rPr>
        <sz val="10"/>
        <color indexed="8"/>
        <rFont val="Aptos Narrow"/>
        <family val="2"/>
      </rPr>
      <t xml:space="preserve"> (Cetacea:Delphinidae). I. General and reproductive biology. Australian Journal of Marine and Freshwater Research 28:703-715</t>
    </r>
  </si>
  <si>
    <r>
      <t xml:space="preserve">Caldwell,D.K., M.C. Caldwell, and D.W.Rice 1966. Behaviour of sperm whale, </t>
    </r>
    <r>
      <rPr>
        <i/>
        <sz val="10"/>
        <color indexed="8"/>
        <rFont val="Aptos Narrow"/>
        <family val="2"/>
      </rPr>
      <t xml:space="preserve">Physeter catodon </t>
    </r>
    <r>
      <rPr>
        <sz val="10"/>
        <color indexed="8"/>
        <rFont val="Aptos Narrow"/>
        <family val="2"/>
      </rPr>
      <t xml:space="preserve">L. Pages 678-717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K.S. Norris, ed. Whales, Dolphins, and Porpoises. University California Press, Berkeley</t>
    </r>
  </si>
  <si>
    <r>
      <t xml:space="preserve">Chen, P. and H. Yuanyu. 1989. Distribution, population size, and protection of </t>
    </r>
    <r>
      <rPr>
        <i/>
        <sz val="10"/>
        <color indexed="8"/>
        <rFont val="Aptos Narrow"/>
        <family val="2"/>
      </rPr>
      <t>Lipotes vexillifer</t>
    </r>
    <r>
      <rPr>
        <sz val="10"/>
        <color indexed="8"/>
        <rFont val="Aptos Narrow"/>
        <family val="2"/>
      </rPr>
      <t xml:space="preserve">. Pages 81-85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of Marine Mammals, Vol 4. Academic Press, London.</t>
    </r>
  </si>
  <si>
    <r>
      <t xml:space="preserve">Cipriano,F. 2002. Atlantic White-sided Dolphin: </t>
    </r>
    <r>
      <rPr>
        <i/>
        <sz val="10"/>
        <color indexed="8"/>
        <rFont val="Aptos Narrow"/>
        <family val="2"/>
      </rPr>
      <t>Lagenorhynchus acutus</t>
    </r>
    <r>
      <rPr>
        <sz val="10"/>
        <color indexed="8"/>
        <rFont val="Aptos Narrow"/>
        <family val="2"/>
      </rPr>
      <t xml:space="preserve">. Pages 49-51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</si>
  <si>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Clapham, P.J. 1992. Age at attainment of sexual maturity in humpback whales, </t>
    </r>
    <r>
      <rPr>
        <i/>
        <sz val="10"/>
        <color indexed="8"/>
        <rFont val="Aptos Narrow"/>
        <family val="2"/>
      </rPr>
      <t>Megaptera novaeangliae</t>
    </r>
    <r>
      <rPr>
        <sz val="10"/>
        <color indexed="8"/>
        <rFont val="Aptos Narrow"/>
        <family val="2"/>
      </rPr>
      <t>. Canadian Journal of Zoology. 70: 1470-1472</t>
    </r>
  </si>
  <si>
    <r>
      <t xml:space="preserve">________. 2002. Humpback Whale </t>
    </r>
    <r>
      <rPr>
        <i/>
        <sz val="10"/>
        <color indexed="8"/>
        <rFont val="Aptos Narrow"/>
        <family val="2"/>
      </rPr>
      <t>Megaptera movaeangliae</t>
    </r>
    <r>
      <rPr>
        <sz val="10"/>
        <color indexed="8"/>
        <rFont val="Aptos Narrow"/>
        <family val="2"/>
      </rPr>
      <t xml:space="preserve">. Pages 589-592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</si>
  <si>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Crespo, E.A. 2002. Franciscana: </t>
    </r>
    <r>
      <rPr>
        <i/>
        <sz val="10"/>
        <color indexed="8"/>
        <rFont val="Aptos Narrow"/>
        <family val="2"/>
      </rPr>
      <t>Pontoporia blainvillei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482-484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</si>
  <si>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Dawson,S.M. 2002 </t>
    </r>
    <r>
      <rPr>
        <i/>
        <sz val="10"/>
        <color indexed="8"/>
        <rFont val="Aptos Narrow"/>
        <family val="2"/>
      </rPr>
      <t>Cephalorhynchus</t>
    </r>
    <r>
      <rPr>
        <sz val="10"/>
        <color indexed="8"/>
        <rFont val="Aptos Narrow"/>
        <family val="2"/>
      </rPr>
      <t xml:space="preserve"> Dolphins: </t>
    </r>
    <r>
      <rPr>
        <i/>
        <sz val="10"/>
        <color indexed="8"/>
        <rFont val="Aptos Narrow"/>
        <family val="2"/>
      </rPr>
      <t xml:space="preserve">C.heavisidii, C. eutropia, C. hectori, </t>
    </r>
    <r>
      <rPr>
        <sz val="10"/>
        <color indexed="8"/>
        <rFont val="Aptos Narrow"/>
        <family val="2"/>
      </rPr>
      <t>and</t>
    </r>
    <r>
      <rPr>
        <i/>
        <sz val="10"/>
        <color indexed="8"/>
        <rFont val="Aptos Narrow"/>
        <family val="2"/>
      </rPr>
      <t xml:space="preserve"> C.Commersonii</t>
    </r>
    <r>
      <rPr>
        <sz val="10"/>
        <color indexed="8"/>
        <rFont val="Aptos Narrow"/>
        <family val="2"/>
      </rPr>
      <t xml:space="preserve">. Pages 200-203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</si>
  <si>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Dolar,M.L.L. 2002 Fraser’s Dolphin </t>
    </r>
    <r>
      <rPr>
        <i/>
        <sz val="10"/>
        <color indexed="8"/>
        <rFont val="Aptos Narrow"/>
        <family val="2"/>
      </rPr>
      <t>Lagenodelphis hosei</t>
    </r>
    <r>
      <rPr>
        <sz val="10"/>
        <color indexed="8"/>
        <rFont val="Aptos Narrow"/>
        <family val="2"/>
      </rPr>
      <t xml:space="preserve">. Pages 485-487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</si>
  <si>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Evans, W.E. 1994. Common dolphin, white-bellied porpoise </t>
    </r>
    <r>
      <rPr>
        <i/>
        <sz val="10"/>
        <color indexed="8"/>
        <rFont val="Aptos Narrow"/>
        <family val="2"/>
      </rPr>
      <t>Delphinus delphis</t>
    </r>
    <r>
      <rPr>
        <sz val="10"/>
        <color indexed="8"/>
        <rFont val="Aptos Narrow"/>
        <family val="2"/>
      </rPr>
      <t xml:space="preserve"> Linnaeus, 1758. Pages 191-224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</si>
  <si>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Flores, P.A.C. 2002. Tucuxi: </t>
    </r>
    <r>
      <rPr>
        <i/>
        <sz val="10"/>
        <color indexed="8"/>
        <rFont val="Aptos Narrow"/>
        <family val="2"/>
      </rPr>
      <t>Sotalia fluviatilis</t>
    </r>
    <r>
      <rPr>
        <sz val="10"/>
        <color indexed="8"/>
        <rFont val="Aptos Narrow"/>
        <family val="2"/>
      </rPr>
      <t xml:space="preserve">. Pages 1267-1269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</si>
  <si>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Ford, J.K.B. 2002. Killer Whale: </t>
    </r>
    <r>
      <rPr>
        <i/>
        <sz val="10"/>
        <color indexed="8"/>
        <rFont val="Aptos Narrow"/>
        <family val="2"/>
      </rPr>
      <t xml:space="preserve">Orcinus orca. </t>
    </r>
    <r>
      <rPr>
        <sz val="10"/>
        <color indexed="8"/>
        <rFont val="Aptos Narrow"/>
        <family val="2"/>
      </rPr>
      <t xml:space="preserve">Pages 669-675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</si>
  <si>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Gao, A. and  K. Zhou. 1992. Sexual dimorphism in the baiji, </t>
    </r>
    <r>
      <rPr>
        <i/>
        <sz val="10"/>
        <color indexed="8"/>
        <rFont val="Aptos Narrow"/>
        <family val="2"/>
      </rPr>
      <t>Lipotes vexillifer</t>
    </r>
    <r>
      <rPr>
        <sz val="10"/>
        <color indexed="8"/>
        <rFont val="Aptos Narrow"/>
        <family val="2"/>
      </rPr>
      <t>. Canadian Journal of Zoology. 70:1484-1493</t>
    </r>
  </si>
  <si>
    <r>
      <t>Garde,E.,M.P. Heide-Jørgensen, S.H. Hansen, G. Nachman, M.C. Forchhammer. 2007. Age-specific growth and remarkable longevity in narwhals (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>) from west Greenland as estimated by asparic acid racemization. Journal of Mammology. 80:49-58</t>
    </r>
  </si>
  <si>
    <r>
      <t xml:space="preserve">Gaskin, D.E. 1977. Harbour Porpoise </t>
    </r>
    <r>
      <rPr>
        <i/>
        <sz val="10"/>
        <color indexed="8"/>
        <rFont val="Aptos Narrow"/>
        <family val="2"/>
      </rPr>
      <t>Phocoena phocoena</t>
    </r>
    <r>
      <rPr>
        <sz val="10"/>
        <color indexed="8"/>
        <rFont val="Aptos Narrow"/>
        <family val="2"/>
      </rPr>
      <t xml:space="preserve"> (L.) in the western approaches to the Bay of Fundy 1969-75. Report  International Whaling Commission. 27:487-492</t>
    </r>
  </si>
  <si>
    <r>
      <t xml:space="preserve">Gaskin, D.E., P.W. Arnold, and B.A. Blair. 1974. </t>
    </r>
    <r>
      <rPr>
        <i/>
        <sz val="10"/>
        <color indexed="8"/>
        <rFont val="Aptos Narrow"/>
        <family val="2"/>
      </rPr>
      <t>Phocoena phocoena</t>
    </r>
    <r>
      <rPr>
        <sz val="10"/>
        <color indexed="8"/>
        <rFont val="Aptos Narrow"/>
        <family val="2"/>
      </rPr>
      <t>. Mammalian Species. 42:1-8</t>
    </r>
  </si>
  <si>
    <r>
      <t xml:space="preserve">Gaskin, D.E., and B.A. Blair. 1977. Age determination of harbor porpoise, </t>
    </r>
    <r>
      <rPr>
        <i/>
        <sz val="10"/>
        <color indexed="8"/>
        <rFont val="Aptos Narrow"/>
        <family val="2"/>
      </rPr>
      <t>Phocoena phocoena</t>
    </r>
    <r>
      <rPr>
        <sz val="10"/>
        <color indexed="8"/>
        <rFont val="Aptos Narrow"/>
        <family val="2"/>
      </rPr>
      <t xml:space="preserve"> (L.) in the Western North Atlantic. Canadian Journal of Zoology. 55: 18-30 </t>
    </r>
  </si>
  <si>
    <r>
      <t xml:space="preserve">Gaskin, D.E., G.J.D. Smith, A.P. Watson, W.Y. Yasui, and D.B. Yurick. 1984. Reproduction in the porpoises (Phocoenidae): implications for management. Pages 135-148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</si>
  <si>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Glockner-Ferrari, D.A., and M.J. Ferrari .1984. Reproduction in the humpback whales, </t>
    </r>
    <r>
      <rPr>
        <i/>
        <sz val="10"/>
        <color indexed="8"/>
        <rFont val="Aptos Narrow"/>
        <family val="2"/>
      </rPr>
      <t>Megaptera novaeangliae</t>
    </r>
    <r>
      <rPr>
        <sz val="10"/>
        <color indexed="8"/>
        <rFont val="Aptos Narrow"/>
        <family val="2"/>
      </rPr>
      <t xml:space="preserve">, in Hawaiian waters. Pages 237-242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</si>
  <si>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>Glockner-Ferrari, D.A., and M.J. Ferrari.1990. Reproduction in the humpback whale (</t>
    </r>
    <r>
      <rPr>
        <i/>
        <sz val="10"/>
        <color indexed="8"/>
        <rFont val="Aptos Narrow"/>
        <family val="2"/>
      </rPr>
      <t>Megaptera novaeangliae</t>
    </r>
    <r>
      <rPr>
        <sz val="10"/>
        <color indexed="8"/>
        <rFont val="Aptos Narrow"/>
        <family val="2"/>
      </rPr>
      <t>) in Hawaiian waters, 1975-1988: the life history, reproductive rates, and behavior of known individuals identified through surface and underwater photography. Pages 161-169 in P.S. Hammond, S.A. Mizroch, and C.P. Donovan, eds. Individual Recognition of Cetaceans:Use of Photo-Identification and other techniques to estimate population parameters. Report of the International Whaling Commission. Special Issue 12</t>
    </r>
  </si>
  <si>
    <r>
      <t xml:space="preserve">Goodall, R.N.P. 1994. Commerson’s dolphin, </t>
    </r>
    <r>
      <rPr>
        <i/>
        <sz val="10"/>
        <color indexed="8"/>
        <rFont val="Aptos Narrow"/>
        <family val="2"/>
      </rPr>
      <t>Cephalorhynchus commersonii</t>
    </r>
    <r>
      <rPr>
        <sz val="10"/>
        <color indexed="8"/>
        <rFont val="Aptos Narrow"/>
        <family val="2"/>
      </rPr>
      <t xml:space="preserve">, (Lacépède 1804) Pages 241-267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</si>
  <si>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Goodall,R.N.P., A.R.Galeazzi, S. Leatherwood, K.W. Miller,I.S. Cameron, R.K. Kastelein, and A.P. Sobral. 1988. Studies of Commerson’s dolphins, </t>
    </r>
    <r>
      <rPr>
        <i/>
        <sz val="10"/>
        <color indexed="8"/>
        <rFont val="Aptos Narrow"/>
        <family val="2"/>
      </rPr>
      <t>Cephalorhynchus commersonii</t>
    </r>
    <r>
      <rPr>
        <sz val="10"/>
        <color indexed="8"/>
        <rFont val="Aptos Narrow"/>
        <family val="2"/>
      </rPr>
      <t xml:space="preserve">, off Tierra del Fuego, 1976-1984, with a review of information on the species in the South Atlantic. Pages 3-70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R. Brownell, Jr., and G.P. Donovan, eds. Biology of the genus </t>
    </r>
    <r>
      <rPr>
        <i/>
        <sz val="10"/>
        <color indexed="8"/>
        <rFont val="Aptos Narrow"/>
        <family val="2"/>
      </rPr>
      <t>Cephalorynchus</t>
    </r>
    <r>
      <rPr>
        <sz val="10"/>
        <color indexed="8"/>
        <rFont val="Aptos Narrow"/>
        <family val="2"/>
      </rPr>
      <t>. Report of the International Whaling Commission. Special Issue 9</t>
    </r>
  </si>
  <si>
    <r>
      <t>Harrison, R.J., R.L. Brownell, Jr. 1971. The gonads of the South American dolphins</t>
    </r>
    <r>
      <rPr>
        <i/>
        <sz val="10"/>
        <color indexed="8"/>
        <rFont val="Aptos Narrow"/>
        <family val="2"/>
      </rPr>
      <t>, Inia geoffrensis</t>
    </r>
    <r>
      <rPr>
        <sz val="10"/>
        <color indexed="8"/>
        <rFont val="Aptos Narrow"/>
        <family val="2"/>
      </rPr>
      <t xml:space="preserve">, </t>
    </r>
    <r>
      <rPr>
        <i/>
        <sz val="10"/>
        <color indexed="8"/>
        <rFont val="Aptos Narrow"/>
        <family val="2"/>
      </rPr>
      <t>Pontoporia blainvelli</t>
    </r>
    <r>
      <rPr>
        <sz val="10"/>
        <color indexed="8"/>
        <rFont val="Aptos Narrow"/>
        <family val="2"/>
      </rPr>
      <t xml:space="preserve">, and </t>
    </r>
    <r>
      <rPr>
        <i/>
        <sz val="10"/>
        <color indexed="8"/>
        <rFont val="Aptos Narrow"/>
        <family val="2"/>
      </rPr>
      <t>Sotalia fluviatilis</t>
    </r>
    <r>
      <rPr>
        <sz val="10"/>
        <color indexed="8"/>
        <rFont val="Aptos Narrow"/>
        <family val="2"/>
      </rPr>
      <t xml:space="preserve">. Journal of Mammalogy. 52:413-419 </t>
    </r>
  </si>
  <si>
    <r>
      <t xml:space="preserve">Harrison, R.J., M.M. Bryden, D.A. McBrearty, and R.L. Brownell, Jr. 1981. The ovaries and reproduction in </t>
    </r>
    <r>
      <rPr>
        <i/>
        <sz val="10"/>
        <color indexed="8"/>
        <rFont val="Aptos Narrow"/>
        <family val="2"/>
      </rPr>
      <t>Pontoporia blainvillei</t>
    </r>
    <r>
      <rPr>
        <sz val="10"/>
        <color indexed="8"/>
        <rFont val="Aptos Narrow"/>
        <family val="2"/>
      </rPr>
      <t xml:space="preserve"> (Cetacea:Platanistidae). Journal of Zoology 193: 563-80</t>
    </r>
  </si>
  <si>
    <r>
      <t xml:space="preserve">Hay, K.A. and A.W. Mansfield. 1989. Narwhal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 xml:space="preserve"> Linnaeus, 1758. Pages 145-176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 of Marine Mammals, Vol 4. Academic Press, London.</t>
    </r>
  </si>
  <si>
    <r>
      <t>Heise,K. 1997. Life history and population parameters of Pacific white-sided dolphins (</t>
    </r>
    <r>
      <rPr>
        <i/>
        <sz val="10"/>
        <color indexed="8"/>
        <rFont val="Aptos Narrow"/>
        <family val="2"/>
      </rPr>
      <t>Lagenorhynchus obliquidens</t>
    </r>
    <r>
      <rPr>
        <sz val="10"/>
        <color indexed="8"/>
        <rFont val="Aptos Narrow"/>
        <family val="2"/>
      </rPr>
      <t xml:space="preserve">)Pages 817-825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Report of the International Whaling Commission. 47</t>
    </r>
  </si>
  <si>
    <r>
      <t>Herzig, D.L. 1997. The life history of free ranging Atlantic spotted dolphins (</t>
    </r>
    <r>
      <rPr>
        <i/>
        <sz val="10"/>
        <color indexed="8"/>
        <rFont val="Aptos Narrow"/>
        <family val="2"/>
      </rPr>
      <t>Stenella frontalis</t>
    </r>
    <r>
      <rPr>
        <sz val="10"/>
        <color indexed="8"/>
        <rFont val="Aptos Narrow"/>
        <family val="2"/>
      </rPr>
      <t>): Age classes, color phases, and female reproduction. Marine Mammal Science. 13: 576-595</t>
    </r>
  </si>
  <si>
    <r>
      <t xml:space="preserve">Heyning, J.E. 1989. Cuvier’s beaked whale </t>
    </r>
    <r>
      <rPr>
        <i/>
        <sz val="10"/>
        <color indexed="8"/>
        <rFont val="Aptos Narrow"/>
        <family val="2"/>
      </rPr>
      <t>Ziphius cavirostris</t>
    </r>
    <r>
      <rPr>
        <sz val="10"/>
        <color indexed="8"/>
        <rFont val="Aptos Narrow"/>
        <family val="2"/>
      </rPr>
      <t xml:space="preserve"> G. Cuvier, 1823. Pages 289-308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 of Marine Mammals, Vol 4. Academic Press, London.</t>
    </r>
  </si>
  <si>
    <r>
      <t xml:space="preserve">________. 2002. Sei Whale: </t>
    </r>
    <r>
      <rPr>
        <i/>
        <sz val="10"/>
        <color indexed="8"/>
        <rFont val="Aptos Narrow"/>
        <family val="2"/>
      </rPr>
      <t>Balaenoptera borealis</t>
    </r>
    <r>
      <rPr>
        <sz val="10"/>
        <color indexed="8"/>
        <rFont val="Aptos Narrow"/>
        <family val="2"/>
      </rPr>
      <t xml:space="preserve">. Pages 1069-1071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</si>
  <si>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Jefferson, T.A. 1988. </t>
    </r>
    <r>
      <rPr>
        <i/>
        <sz val="10"/>
        <color indexed="8"/>
        <rFont val="Aptos Narrow"/>
        <family val="2"/>
      </rPr>
      <t>Phocoenoides dalli</t>
    </r>
    <r>
      <rPr>
        <sz val="10"/>
        <color indexed="8"/>
        <rFont val="Aptos Narrow"/>
        <family val="2"/>
      </rPr>
      <t>. Mammalian Species. 319:1-7</t>
    </r>
  </si>
  <si>
    <r>
      <t xml:space="preserve">________. 2002. Dall’s Porpoise: </t>
    </r>
    <r>
      <rPr>
        <i/>
        <sz val="10"/>
        <color indexed="8"/>
        <rFont val="Aptos Narrow"/>
        <family val="2"/>
      </rPr>
      <t>Phocoenoides dalli</t>
    </r>
    <r>
      <rPr>
        <sz val="10"/>
        <color indexed="8"/>
        <rFont val="Aptos Narrow"/>
        <family val="2"/>
      </rPr>
      <t xml:space="preserve">. Pages 308-310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</si>
  <si>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________. 2002 Rough-Toothed Dolphin:</t>
    </r>
    <r>
      <rPr>
        <i/>
        <sz val="10"/>
        <color indexed="8"/>
        <rFont val="Aptos Narrow"/>
        <family val="2"/>
      </rPr>
      <t>Steno bredanensis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1055-1059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</si>
  <si>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Jefferson, T.A., and S. Leatherwood. 1994. </t>
    </r>
    <r>
      <rPr>
        <i/>
        <sz val="10"/>
        <color indexed="8"/>
        <rFont val="Aptos Narrow"/>
        <family val="2"/>
      </rPr>
      <t>Lagenodelphis hosei</t>
    </r>
    <r>
      <rPr>
        <sz val="10"/>
        <color indexed="8"/>
        <rFont val="Aptos Narrow"/>
        <family val="2"/>
      </rPr>
      <t>. Mammalian Species. 470:1-5</t>
    </r>
  </si>
  <si>
    <r>
      <t xml:space="preserve">Jones, M., S.L. Swartz.  2002. Sperm whale </t>
    </r>
    <r>
      <rPr>
        <i/>
        <sz val="10"/>
        <color indexed="8"/>
        <rFont val="Aptos Narrow"/>
        <family val="2"/>
      </rPr>
      <t>Physeter macrocephalus</t>
    </r>
    <r>
      <rPr>
        <sz val="10"/>
        <color indexed="8"/>
        <rFont val="Aptos Narrow"/>
        <family val="2"/>
      </rPr>
      <t xml:space="preserve">. Pages 524-536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</si>
  <si>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Kaiya,Z. 2002. Baiji: </t>
    </r>
    <r>
      <rPr>
        <i/>
        <sz val="10"/>
        <color indexed="8"/>
        <rFont val="Aptos Narrow"/>
        <family val="2"/>
      </rPr>
      <t>Lipotes vexillifer</t>
    </r>
    <r>
      <rPr>
        <sz val="10"/>
        <color indexed="8"/>
        <rFont val="Aptos Narrow"/>
        <family val="2"/>
      </rPr>
      <t xml:space="preserve">. Pages 58-61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</si>
  <si>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________. 2002. Giant Beaked Whales: </t>
    </r>
    <r>
      <rPr>
        <i/>
        <sz val="10"/>
        <color indexed="8"/>
        <rFont val="Aptos Narrow"/>
        <family val="2"/>
      </rPr>
      <t>Berardius bairdii</t>
    </r>
    <r>
      <rPr>
        <sz val="10"/>
        <color indexed="8"/>
        <rFont val="Aptos Narrow"/>
        <family val="2"/>
      </rPr>
      <t xml:space="preserve"> and </t>
    </r>
    <r>
      <rPr>
        <i/>
        <sz val="10"/>
        <color indexed="8"/>
        <rFont val="Aptos Narrow"/>
        <family val="2"/>
      </rPr>
      <t>B. arnuxii</t>
    </r>
    <r>
      <rPr>
        <sz val="10"/>
        <color indexed="8"/>
        <rFont val="Aptos Narrow"/>
        <family val="2"/>
      </rPr>
      <t xml:space="preserve">. Pages 519-522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</si>
  <si>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Kasuya, T., and R.L. Brownell, Jr. 1979. Age determination, reproduction, and growth of  Franciscana dolphin </t>
    </r>
    <r>
      <rPr>
        <i/>
        <sz val="10"/>
        <color indexed="8"/>
        <rFont val="Aptos Narrow"/>
        <family val="2"/>
      </rPr>
      <t>Pontoporia blainvillei</t>
    </r>
    <r>
      <rPr>
        <sz val="10"/>
        <color indexed="8"/>
        <rFont val="Aptos Narrow"/>
        <family val="2"/>
      </rPr>
      <t>. The Scientific Reports of the Whales Research Institute. 31: 45-67</t>
    </r>
  </si>
  <si>
    <r>
      <t xml:space="preserve">Kasuya,T., and H. Marsh.1984. Life history and reproductive biology of the short-finned pilot whale, </t>
    </r>
    <r>
      <rPr>
        <i/>
        <sz val="10"/>
        <color indexed="8"/>
        <rFont val="Aptos Narrow"/>
        <family val="2"/>
      </rPr>
      <t>Globicephala macrorhynchus,</t>
    </r>
    <r>
      <rPr>
        <sz val="10"/>
        <color indexed="8"/>
        <rFont val="Aptos Narrow"/>
        <family val="2"/>
      </rPr>
      <t xml:space="preserve"> off the Pacific coast of Japan. Pages 259-310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</si>
  <si>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Kasuya, T., and S. Tai. 1993. Life history of the short- finned pilot whale stocks off Japan and a description of fishery. Pages 439-473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G.P. Donovan, C.H. Lockyer, A.R. Martin, eds. Biology of Northern Hemisphere pilot whales. International Whaling Commission. Cambridge, United Kingdom.</t>
    </r>
  </si>
  <si>
    <r>
      <t xml:space="preserve">Kato, H. 2002. Bryde’s Whales: </t>
    </r>
    <r>
      <rPr>
        <i/>
        <sz val="10"/>
        <color indexed="8"/>
        <rFont val="Aptos Narrow"/>
        <family val="2"/>
      </rPr>
      <t>Balaenoptera edeni</t>
    </r>
    <r>
      <rPr>
        <sz val="10"/>
        <color indexed="8"/>
        <rFont val="Aptos Narrow"/>
        <family val="2"/>
      </rPr>
      <t xml:space="preserve"> </t>
    </r>
    <r>
      <rPr>
        <i/>
        <sz val="10"/>
        <color indexed="8"/>
        <rFont val="Aptos Narrow"/>
        <family val="2"/>
      </rPr>
      <t>and B. brydei</t>
    </r>
    <r>
      <rPr>
        <sz val="10"/>
        <color indexed="8"/>
        <rFont val="Aptos Narrow"/>
        <family val="2"/>
      </rPr>
      <t xml:space="preserve">. Pages 171-176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</si>
  <si>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Kenney, R.D. 2002. North Atlantic, North Pacific, and Southern Right Whales: </t>
    </r>
    <r>
      <rPr>
        <i/>
        <sz val="10"/>
        <color indexed="8"/>
        <rFont val="Aptos Narrow"/>
        <family val="2"/>
      </rPr>
      <t>Eubalaena glacialis</t>
    </r>
    <r>
      <rPr>
        <sz val="10"/>
        <color indexed="8"/>
        <rFont val="Aptos Narrow"/>
        <family val="2"/>
      </rPr>
      <t xml:space="preserve">, </t>
    </r>
    <r>
      <rPr>
        <i/>
        <sz val="10"/>
        <color indexed="8"/>
        <rFont val="Aptos Narrow"/>
        <family val="2"/>
      </rPr>
      <t>E. japonica</t>
    </r>
    <r>
      <rPr>
        <sz val="10"/>
        <color indexed="8"/>
        <rFont val="Aptos Narrow"/>
        <family val="2"/>
      </rPr>
      <t xml:space="preserve">, and </t>
    </r>
    <r>
      <rPr>
        <i/>
        <sz val="10"/>
        <color indexed="8"/>
        <rFont val="Aptos Narrow"/>
        <family val="2"/>
      </rPr>
      <t>E. australis</t>
    </r>
    <r>
      <rPr>
        <sz val="10"/>
        <color indexed="8"/>
        <rFont val="Aptos Narrow"/>
        <family val="2"/>
      </rPr>
      <t xml:space="preserve">. Pages 806-813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</si>
  <si>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Koski, L.F., R.A. Davis, G.W. Miller, and D.E. Withrow. 1993. Reproduction. Pages 239-274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J.J.Burns, J.J.Montague, and C.C.Cowles, eds. The bowhead whale. Special Publication no.2. Society of Marine Mammology. Allen Press Inc., Lawrence, Kansas.</t>
    </r>
  </si>
  <si>
    <r>
      <t xml:space="preserve">Leatherwood, S. and, R.R. Reeves. 1978. Porpoises and dolphins. Pages 97-111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 Haley, ed. Marine Mammals of the Eastern North Pacific and Arctic Waters. Pacific Search Press, Seattle,W.A.</t>
    </r>
  </si>
  <si>
    <r>
      <t xml:space="preserve">Lockyer, C., R.N.P. Goodall, and A.R. Geleazzi. 1988. Age and body-length characteristics of </t>
    </r>
    <r>
      <rPr>
        <i/>
        <sz val="10"/>
        <color indexed="8"/>
        <rFont val="Aptos Narrow"/>
        <family val="2"/>
      </rPr>
      <t xml:space="preserve">Cephalorhynchus commersonii </t>
    </r>
    <r>
      <rPr>
        <sz val="10"/>
        <color indexed="8"/>
        <rFont val="Aptos Narrow"/>
        <family val="2"/>
      </rPr>
      <t xml:space="preserve">from incidentally-caught specimens off Tierra del Fuego. Pages 103-118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R. Brownell, Jr., and G.P. Donovan, eds. Biology of the genus Cephalorynchus. Report of the International Whaling Commission. Special Issue 9 </t>
    </r>
  </si>
  <si>
    <r>
      <t xml:space="preserve">Mansfield, A.W., T.G. Smith, and B.Beck. 1975. The narwhal,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>, in eastern Canadian waters. Journal of the Fisheries Research Board of Canada. 32:1041-1046</t>
    </r>
  </si>
  <si>
    <r>
      <t xml:space="preserve">Marquette, W.M. 1978. Bowhead whale. Pages 70-81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ed.Marine Mammals of the Eastern North Pacific and Arctic Waters. Pacific Search Press, Seattle,W.A.</t>
    </r>
  </si>
  <si>
    <r>
      <t xml:space="preserve">Marsh, H., R. Lloze, G.E. Heinsohn, T. Kasuya. 1989. Irrawaddy dolphin </t>
    </r>
    <r>
      <rPr>
        <i/>
        <sz val="10"/>
        <color indexed="8"/>
        <rFont val="Aptos Narrow"/>
        <family val="2"/>
      </rPr>
      <t>Orcaella brevirostris</t>
    </r>
    <r>
      <rPr>
        <sz val="10"/>
        <color indexed="8"/>
        <rFont val="Aptos Narrow"/>
        <family val="2"/>
      </rPr>
      <t xml:space="preserve"> (Gray,1866). Pages 101-118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of Marine Mammals, Vol 4. Academic Press, London.</t>
    </r>
  </si>
  <si>
    <r>
      <t>Martin, A.R., and P. Rothery.1993. Reproductive parameters of female long-finned pilot whales (</t>
    </r>
    <r>
      <rPr>
        <i/>
        <sz val="10"/>
        <color indexed="8"/>
        <rFont val="Aptos Narrow"/>
        <family val="2"/>
      </rPr>
      <t>Globicephala melas</t>
    </r>
    <r>
      <rPr>
        <sz val="10"/>
        <color indexed="8"/>
        <rFont val="Aptos Narrow"/>
        <family val="2"/>
      </rPr>
      <t xml:space="preserve">) around the Faroe Islands. Pages 263-304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G.P. Donovan, C.H. Lockyer, A.R. Martin, eds. Biology of Northern Hemisphere pilot whales. International Whaling Commission. Cambridge, United Kingdom.</t>
    </r>
  </si>
  <si>
    <r>
      <t xml:space="preserve">McAlpine, D. F. 2002. Pygmy and Dwarf Sperm Whales </t>
    </r>
    <r>
      <rPr>
        <i/>
        <sz val="10"/>
        <color indexed="8"/>
        <rFont val="Aptos Narrow"/>
        <family val="2"/>
      </rPr>
      <t>Kogia breviceps and K. sima.</t>
    </r>
    <r>
      <rPr>
        <sz val="10"/>
        <color indexed="8"/>
        <rFont val="Aptos Narrow"/>
        <family val="2"/>
      </rPr>
      <t xml:space="preserve"> Pages 1007-1009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Perrin, W. F., B. Würsig and J. G. M. Thewissen. Encyclopedia of Marine Mammals. Academic Press. San Diego, California.</t>
    </r>
  </si>
  <si>
    <r>
      <t xml:space="preserve">Mead, J.G. 1984. Survey of reproductive data for the beaked whales (Ziphiidae). Pages 91-96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</si>
  <si>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________. 1989. Bottlenose whales </t>
    </r>
    <r>
      <rPr>
        <i/>
        <sz val="10"/>
        <color indexed="8"/>
        <rFont val="Aptos Narrow"/>
        <family val="2"/>
      </rPr>
      <t>Hyperoodon ampullatus</t>
    </r>
    <r>
      <rPr>
        <sz val="10"/>
        <color indexed="8"/>
        <rFont val="Aptos Narrow"/>
        <family val="2"/>
      </rPr>
      <t xml:space="preserve"> (Forster, 1770) and </t>
    </r>
    <r>
      <rPr>
        <i/>
        <sz val="10"/>
        <color indexed="8"/>
        <rFont val="Aptos Narrow"/>
        <family val="2"/>
      </rPr>
      <t>Hyperoodon planifrons</t>
    </r>
    <r>
      <rPr>
        <sz val="10"/>
        <color indexed="8"/>
        <rFont val="Aptos Narrow"/>
        <family val="2"/>
      </rPr>
      <t xml:space="preserve"> Flower,1882. Pages 321-348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of Marine Mammals, Vol 4. Academic Press, London.</t>
    </r>
  </si>
  <si>
    <r>
      <t xml:space="preserve">Mead, J.G., D.K. Odell, R.S. Wells, and M.D. Scott. 1980. Observations on a mass stranding of spinner dolphin, </t>
    </r>
    <r>
      <rPr>
        <i/>
        <sz val="10"/>
        <color indexed="8"/>
        <rFont val="Aptos Narrow"/>
        <family val="2"/>
      </rPr>
      <t>Stenella longirostris</t>
    </r>
    <r>
      <rPr>
        <sz val="10"/>
        <color indexed="8"/>
        <rFont val="Aptos Narrow"/>
        <family val="2"/>
      </rPr>
      <t>, from the west coast of Florida. Fishery Bulletin 78:353-360</t>
    </r>
  </si>
  <si>
    <r>
      <t xml:space="preserve">________. 1978. Finner whales. Pages 36-45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 Marine Mammals of the Eastern North Pacific and Arctic Waters. Pacific Search Press, Seattle,W.A.</t>
    </r>
  </si>
  <si>
    <r>
      <t xml:space="preserve">Miyazaki, N., and W.F. Perrin. 1994. Rough-toothed dolphin </t>
    </r>
    <r>
      <rPr>
        <i/>
        <sz val="10"/>
        <color indexed="8"/>
        <rFont val="Aptos Narrow"/>
        <family val="2"/>
      </rPr>
      <t>Steno bredanensis</t>
    </r>
    <r>
      <rPr>
        <sz val="10"/>
        <color indexed="8"/>
        <rFont val="Aptos Narrow"/>
        <family val="2"/>
      </rPr>
      <t xml:space="preserve"> (Lesson, 1828). Pages 1-21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</si>
  <si>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Mizroch,S.A., D.W. Rice, and J.M. Breiwick. 1984. The blue whale, </t>
    </r>
    <r>
      <rPr>
        <i/>
        <sz val="10"/>
        <color indexed="8"/>
        <rFont val="Aptos Narrow"/>
        <family val="2"/>
      </rPr>
      <t>Balaenoptera musculus</t>
    </r>
    <r>
      <rPr>
        <sz val="10"/>
        <color indexed="8"/>
        <rFont val="Aptos Narrow"/>
        <family val="2"/>
      </rPr>
      <t>. Marine Fisheries Review. 46(4):15-19</t>
    </r>
  </si>
  <si>
    <r>
      <t>Natalie, R., and P. Goodall, 2002. Spectacled Porpoise:</t>
    </r>
    <r>
      <rPr>
        <i/>
        <sz val="10"/>
        <color indexed="8"/>
        <rFont val="Aptos Narrow"/>
        <family val="2"/>
      </rPr>
      <t>Phocoena dioptrica</t>
    </r>
    <r>
      <rPr>
        <sz val="10"/>
        <color indexed="8"/>
        <rFont val="Aptos Narrow"/>
        <family val="2"/>
      </rPr>
      <t xml:space="preserve">. Pages 1158-1161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</si>
  <si>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Neiri,M., E. Garu, B. Lamarche, A. Aguilar. 1999. Mass mortality of Atlantic spotted dolphins (</t>
    </r>
    <r>
      <rPr>
        <i/>
        <sz val="10"/>
        <color indexed="8"/>
        <rFont val="Aptos Narrow"/>
        <family val="2"/>
      </rPr>
      <t>Stenella frontalis</t>
    </r>
    <r>
      <rPr>
        <sz val="10"/>
        <color indexed="8"/>
        <rFont val="Aptos Narrow"/>
        <family val="2"/>
      </rPr>
      <t xml:space="preserve">)caused by fishing interaction in Mauretania. Marine Mammal Science. 15: 847-854 </t>
    </r>
  </si>
  <si>
    <r>
      <t xml:space="preserve">O’Corry-Crowe,G.M.2002. Beluga Whale: </t>
    </r>
    <r>
      <rPr>
        <i/>
        <sz val="10"/>
        <color indexed="8"/>
        <rFont val="Aptos Narrow"/>
        <family val="2"/>
      </rPr>
      <t xml:space="preserve">Delphinapterus leucas. </t>
    </r>
    <r>
      <rPr>
        <sz val="10"/>
        <color indexed="8"/>
        <rFont val="Aptos Narrow"/>
        <family val="2"/>
      </rPr>
      <t xml:space="preserve">Pages 94-98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</si>
  <si>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Olesiuk, P.F., M.A. Bigg, and G.M. Ellis. 1990. Life history and population dynamics of resident killer whales (</t>
    </r>
    <r>
      <rPr>
        <i/>
        <sz val="10"/>
        <color indexed="8"/>
        <rFont val="Aptos Narrow"/>
        <family val="2"/>
      </rPr>
      <t>Orcinus orca</t>
    </r>
    <r>
      <rPr>
        <sz val="10"/>
        <color indexed="8"/>
        <rFont val="Aptos Narrow"/>
        <family val="2"/>
      </rPr>
      <t xml:space="preserve">) in the coastal waters of British Columbia and Washington state. Pages 209-43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P.S. Hammond, S.A. Mizroch, and C.P. Donovan, eds. Individual Recognition of Cetaceans:Use of Photo-Identification and other techniques to estimate population parameters. Report of the International Whaling Commission. Special Issue 12</t>
    </r>
  </si>
  <si>
    <r>
      <t xml:space="preserve">Olson,P.A., and S.B. Reilly. 2002 Pilot Whales: </t>
    </r>
    <r>
      <rPr>
        <i/>
        <sz val="10"/>
        <color indexed="8"/>
        <rFont val="Aptos Narrow"/>
        <family val="2"/>
      </rPr>
      <t>Globicephala melas</t>
    </r>
    <r>
      <rPr>
        <sz val="10"/>
        <color indexed="8"/>
        <rFont val="Aptos Narrow"/>
        <family val="2"/>
      </rPr>
      <t xml:space="preserve"> and </t>
    </r>
    <r>
      <rPr>
        <i/>
        <sz val="10"/>
        <color indexed="8"/>
        <rFont val="Aptos Narrow"/>
        <family val="2"/>
      </rPr>
      <t>G. macrorhynchus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898-903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</si>
  <si>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Paul, J.R. 1968. Risso’s dolphin, </t>
    </r>
    <r>
      <rPr>
        <i/>
        <sz val="10"/>
        <color indexed="8"/>
        <rFont val="Aptos Narrow"/>
        <family val="2"/>
      </rPr>
      <t>Grampus griseus</t>
    </r>
    <r>
      <rPr>
        <sz val="10"/>
        <color indexed="8"/>
        <rFont val="Aptos Narrow"/>
        <family val="2"/>
      </rPr>
      <t>, in the Gulf of Mexico. Journal of Mammology. 49:746-748</t>
    </r>
  </si>
  <si>
    <r>
      <t xml:space="preserve">Perrin, W.F. 1998. </t>
    </r>
    <r>
      <rPr>
        <i/>
        <sz val="10"/>
        <color indexed="8"/>
        <rFont val="Aptos Narrow"/>
        <family val="2"/>
      </rPr>
      <t>Stenella longirostris</t>
    </r>
    <r>
      <rPr>
        <sz val="10"/>
        <color indexed="8"/>
        <rFont val="Aptos Narrow"/>
        <family val="2"/>
      </rPr>
      <t>. Mammal Species. 599: 1-7</t>
    </r>
  </si>
  <si>
    <r>
      <t xml:space="preserve">________. 2002. Common Dolphins </t>
    </r>
    <r>
      <rPr>
        <i/>
        <sz val="10"/>
        <color indexed="8"/>
        <rFont val="Aptos Narrow"/>
        <family val="2"/>
      </rPr>
      <t>Delphinus delphis, D. capensis</t>
    </r>
    <r>
      <rPr>
        <sz val="10"/>
        <color indexed="8"/>
        <rFont val="Aptos Narrow"/>
        <family val="2"/>
      </rPr>
      <t xml:space="preserve">, and </t>
    </r>
    <r>
      <rPr>
        <i/>
        <sz val="10"/>
        <color indexed="8"/>
        <rFont val="Aptos Narrow"/>
        <family val="2"/>
      </rPr>
      <t xml:space="preserve">D. tropicalis. </t>
    </r>
    <r>
      <rPr>
        <sz val="10"/>
        <color indexed="8"/>
        <rFont val="Aptos Narrow"/>
        <family val="2"/>
      </rPr>
      <t xml:space="preserve">Pages 245-248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</si>
  <si>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________. 2002. Pantropical Spotted Dolphin: </t>
    </r>
    <r>
      <rPr>
        <i/>
        <sz val="10"/>
        <color indexed="8"/>
        <rFont val="Aptos Narrow"/>
        <family val="2"/>
      </rPr>
      <t>Stenella attenuate</t>
    </r>
    <r>
      <rPr>
        <sz val="10"/>
        <color indexed="8"/>
        <rFont val="Aptos Narrow"/>
        <family val="2"/>
      </rPr>
      <t xml:space="preserve">. Pages  865-867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</si>
  <si>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________. 2002 Spinner Dolphin: </t>
    </r>
    <r>
      <rPr>
        <i/>
        <sz val="10"/>
        <color indexed="8"/>
        <rFont val="Aptos Narrow"/>
        <family val="2"/>
      </rPr>
      <t>Stenella longirostris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1174-1178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</si>
  <si>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Perrin, W.F., R.L.Brownell Jr. 2002. Minke Whales: </t>
    </r>
    <r>
      <rPr>
        <i/>
        <sz val="10"/>
        <color indexed="8"/>
        <rFont val="Aptos Narrow"/>
        <family val="2"/>
      </rPr>
      <t>Balaenoptera acutorostrata</t>
    </r>
    <r>
      <rPr>
        <sz val="10"/>
        <color indexed="8"/>
        <rFont val="Aptos Narrow"/>
        <family val="2"/>
      </rPr>
      <t xml:space="preserve"> and </t>
    </r>
    <r>
      <rPr>
        <i/>
        <sz val="10"/>
        <color indexed="8"/>
        <rFont val="Aptos Narrow"/>
        <family val="2"/>
      </rPr>
      <t>B. bonaerensis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 750-754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</si>
  <si>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Perrin,W.F., D.K. Caldwell, M.C. Caldwell. 1994. Atlantic spotted dolphin </t>
    </r>
    <r>
      <rPr>
        <i/>
        <sz val="10"/>
        <color indexed="8"/>
        <rFont val="Aptos Narrow"/>
        <family val="2"/>
      </rPr>
      <t>Stenella frontalis</t>
    </r>
    <r>
      <rPr>
        <sz val="10"/>
        <color indexed="8"/>
        <rFont val="Aptos Narrow"/>
        <family val="2"/>
      </rPr>
      <t xml:space="preserve"> (G. Cuvier, 1829). Pages 173-190 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</si>
  <si>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Perrin, W.F., and A.A.Hohn. 1994. Pantropical spotted dolphin </t>
    </r>
    <r>
      <rPr>
        <i/>
        <sz val="10"/>
        <color indexed="8"/>
        <rFont val="Aptos Narrow"/>
        <family val="2"/>
      </rPr>
      <t>Stenella attenuata</t>
    </r>
    <r>
      <rPr>
        <sz val="10"/>
        <color indexed="8"/>
        <rFont val="Aptos Narrow"/>
        <family val="2"/>
      </rPr>
      <t xml:space="preserve">. Pages 71-98 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</si>
  <si>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Perrin,W.F., S.  Leatherwood and A. Collet 1994. Fraser’s dolphin </t>
    </r>
    <r>
      <rPr>
        <i/>
        <sz val="10"/>
        <color indexed="8"/>
        <rFont val="Aptos Narrow"/>
        <family val="2"/>
      </rPr>
      <t>Lagenodelphis hosei</t>
    </r>
    <r>
      <rPr>
        <sz val="10"/>
        <color indexed="8"/>
        <rFont val="Aptos Narrow"/>
        <family val="2"/>
      </rPr>
      <t xml:space="preserve">  Fraser, 1956.  Pages 225-240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</si>
  <si>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Perrin,W.F., E.D. Mitchell, J.G. Mead, D.K. Caldwell, M.C. Caldwell, P.J.H. Van Bree, and W.H. Dawbin. 1987. Revision of the spotted dolphins, </t>
    </r>
    <r>
      <rPr>
        <i/>
        <sz val="10"/>
        <color indexed="8"/>
        <rFont val="Aptos Narrow"/>
        <family val="2"/>
      </rPr>
      <t>Stenella</t>
    </r>
    <r>
      <rPr>
        <sz val="10"/>
        <color indexed="8"/>
        <rFont val="Aptos Narrow"/>
        <family val="2"/>
      </rPr>
      <t xml:space="preserve"> spp. Marine Mammal Science. 3:99-170 </t>
    </r>
  </si>
  <si>
    <r>
      <t xml:space="preserve">Perrin, W.F., and S.B.Reilly. 1984. Reproductive parameters of dolphins and small whales of the family Delphinidae. Pages 97-133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R.L Brownell and D.P. DeMasters, eds. Reproduction in Whales, Dolphins and Porpoises. Report of the International Whaling Commission. Special Issue 6</t>
    </r>
  </si>
  <si>
    <r>
      <t xml:space="preserve">Perrin ,W.F.,and W.A. Walker. 1975. The rough-toothed porpoise, </t>
    </r>
    <r>
      <rPr>
        <i/>
        <sz val="10"/>
        <color indexed="8"/>
        <rFont val="Aptos Narrow"/>
        <family val="2"/>
      </rPr>
      <t>Steno bredanensis</t>
    </r>
    <r>
      <rPr>
        <sz val="10"/>
        <color indexed="8"/>
        <rFont val="Aptos Narrow"/>
        <family val="2"/>
      </rPr>
      <t>, in the eastern tropical Pacific. Journal of Mammology. 56:905-9</t>
    </r>
  </si>
  <si>
    <r>
      <t xml:space="preserve">Perrin, W.F., C.E. Wilson, and F.I. Archer II. 1994. Striped dolphin </t>
    </r>
    <r>
      <rPr>
        <i/>
        <sz val="10"/>
        <color indexed="8"/>
        <rFont val="Aptos Narrow"/>
        <family val="2"/>
      </rPr>
      <t>Stenella coeruleoalba</t>
    </r>
    <r>
      <rPr>
        <sz val="10"/>
        <color indexed="8"/>
        <rFont val="Aptos Narrow"/>
        <family val="2"/>
      </rPr>
      <t xml:space="preserve"> (Meyen, 1833). Pages 129-59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</si>
  <si>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Perryman, W.L. 2002. Melon-headed Whale: </t>
    </r>
    <r>
      <rPr>
        <i/>
        <sz val="10"/>
        <color indexed="8"/>
        <rFont val="Aptos Narrow"/>
        <family val="2"/>
      </rPr>
      <t>Peponocephala electra</t>
    </r>
    <r>
      <rPr>
        <sz val="10"/>
        <color indexed="8"/>
        <rFont val="Aptos Narrow"/>
        <family val="2"/>
      </rPr>
      <t xml:space="preserve">. Pages 733-735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</si>
  <si>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Perryman, W.L., D.W.K. Au, S. Leatherwood, and T.A. Jefferson.1994. Melon-headed whale </t>
    </r>
    <r>
      <rPr>
        <i/>
        <sz val="10"/>
        <color indexed="8"/>
        <rFont val="Aptos Narrow"/>
        <family val="2"/>
      </rPr>
      <t>Peponocephala electra</t>
    </r>
    <r>
      <rPr>
        <sz val="10"/>
        <color indexed="8"/>
        <rFont val="Aptos Narrow"/>
        <family val="2"/>
      </rPr>
      <t xml:space="preserve"> Gray, 1846. Pages 363-386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S.H. Ridgway and R.Harrison, eds. Handbook of Marine Mammals, Vol 5.Academic Press, London.</t>
    </r>
  </si>
  <si>
    <r>
      <t xml:space="preserve">Piman, R. 2002. Mesoplodont Whales. Pages 738-742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</si>
  <si>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Pitman, R.L. 2002. Mesoplodont whales </t>
    </r>
    <r>
      <rPr>
        <i/>
        <sz val="10"/>
        <color indexed="8"/>
        <rFont val="Aptos Narrow"/>
        <family val="2"/>
      </rPr>
      <t>Mesoplodon</t>
    </r>
    <r>
      <rPr>
        <sz val="10"/>
        <color indexed="8"/>
        <rFont val="Aptos Narrow"/>
        <family val="2"/>
      </rPr>
      <t xml:space="preserve"> spp. Page 738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</si>
  <si>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Purves, P.E., and G. Pilleri. 1978. The functional anatomy and general biology of </t>
    </r>
    <r>
      <rPr>
        <i/>
        <sz val="10"/>
        <color indexed="8"/>
        <rFont val="Aptos Narrow"/>
        <family val="2"/>
      </rPr>
      <t>Pseudorca crassidens</t>
    </r>
    <r>
      <rPr>
        <sz val="10"/>
        <color indexed="8"/>
        <rFont val="Aptos Narrow"/>
        <family val="2"/>
      </rPr>
      <t xml:space="preserve"> (Owen) with a review of the hydrodynamics and acoustics in Cetacea. Investigations on Cetacea 9:68-227</t>
    </r>
  </si>
  <si>
    <r>
      <t xml:space="preserve">Read, A.J. 1990. Reproductive seasonality in harbor porpoises, </t>
    </r>
    <r>
      <rPr>
        <i/>
        <sz val="10"/>
        <color indexed="8"/>
        <rFont val="Aptos Narrow"/>
        <family val="2"/>
      </rPr>
      <t xml:space="preserve">Phocoena phocoena, </t>
    </r>
    <r>
      <rPr>
        <sz val="10"/>
        <color indexed="8"/>
        <rFont val="Aptos Narrow"/>
        <family val="2"/>
      </rPr>
      <t>from the Bay of Fundy. Canadian  Journal of Zoology. 68: 284-288</t>
    </r>
  </si>
  <si>
    <r>
      <t xml:space="preserve">Reeves, R.R., R.L. Brownell, Jr. 1989. Susu </t>
    </r>
    <r>
      <rPr>
        <i/>
        <sz val="10"/>
        <color indexed="8"/>
        <rFont val="Aptos Narrow"/>
        <family val="2"/>
      </rPr>
      <t>Platanista gangetica</t>
    </r>
    <r>
      <rPr>
        <sz val="10"/>
        <color indexed="8"/>
        <rFont val="Aptos Narrow"/>
        <family val="2"/>
      </rPr>
      <t xml:space="preserve"> (Roxburgh,1801) and </t>
    </r>
    <r>
      <rPr>
        <i/>
        <sz val="10"/>
        <color indexed="8"/>
        <rFont val="Aptos Narrow"/>
        <family val="2"/>
      </rPr>
      <t>Platanista minor</t>
    </r>
    <r>
      <rPr>
        <sz val="10"/>
        <color indexed="8"/>
        <rFont val="Aptos Narrow"/>
        <family val="2"/>
      </rPr>
      <t xml:space="preserve"> Owen, 1853. Pages 69-99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 Marine Mammals, Vol 4. Academic Press, London.</t>
    </r>
  </si>
  <si>
    <r>
      <t>Reeves,R.R., and S. Leatherwood. 1985. Bowhead whale-</t>
    </r>
    <r>
      <rPr>
        <i/>
        <sz val="10"/>
        <color indexed="8"/>
        <rFont val="Aptos Narrow"/>
        <family val="2"/>
      </rPr>
      <t xml:space="preserve">Balaena mysticetus. </t>
    </r>
    <r>
      <rPr>
        <sz val="10"/>
        <color indexed="8"/>
        <rFont val="Aptos Narrow"/>
        <family val="2"/>
      </rPr>
      <t xml:space="preserve">Pages 305-344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S.H.Ridgway and R. Harrison, eds. Handbook of Marine Mammals, Vol 3. Academic Press, London. </t>
    </r>
  </si>
  <si>
    <r>
      <t xml:space="preserve">Reeves, R.R., and S. Tracey. 1980.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>. Mammalian Species. 127:1-7</t>
    </r>
  </si>
  <si>
    <r>
      <t>Reidenberg, J. S. and J. T. Laitman. 2002. Prenatal Development in Cetaceans. Pages 998-1007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</si>
  <si>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Reyes,J.C. 2002. Burmeister’s Porpoise: </t>
    </r>
    <r>
      <rPr>
        <i/>
        <sz val="10"/>
        <color indexed="8"/>
        <rFont val="Aptos Narrow"/>
        <family val="2"/>
      </rPr>
      <t>Phocoena spinipinnis</t>
    </r>
    <r>
      <rPr>
        <sz val="10"/>
        <color indexed="8"/>
        <rFont val="Aptos Narrow"/>
        <family val="2"/>
      </rPr>
      <t>.</t>
    </r>
    <r>
      <rPr>
        <i/>
        <sz val="10"/>
        <color indexed="8"/>
        <rFont val="Aptos Narrow"/>
        <family val="2"/>
      </rPr>
      <t xml:space="preserve"> </t>
    </r>
    <r>
      <rPr>
        <sz val="10"/>
        <color indexed="8"/>
        <rFont val="Aptos Narrow"/>
        <family val="2"/>
      </rPr>
      <t xml:space="preserve">Pages 177-179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</si>
  <si>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Rice, D.W. 1967. Cetaceans. Pages 291-324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 Anderson and, J.K. Jones,Jr., eds. Recent Mammals of the World. Ronald Press, New York.</t>
    </r>
  </si>
  <si>
    <r>
      <t xml:space="preserve">________. 1978a. Blue whale. Pages 30-35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 Marine Mammals of the Eastern North Pacific and Arctic Waters. Pacific Search Press, Seattle,W.A.</t>
    </r>
  </si>
  <si>
    <r>
      <t xml:space="preserve">________. 1978b. Sperm whales. Pages 82-87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 Marine Mammals of the Eastern North Pacific and Arctic Waters. Pacific Search Press, Seattle,W.A.</t>
    </r>
  </si>
  <si>
    <r>
      <t xml:space="preserve">________. 1984. Cetaceans. Pages 447-490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 Anderson and, J.K. Jones,Jr., eds. Orders and Families of Recent Mammals of the World. John Wiley and Sons Inc., New York.</t>
    </r>
  </si>
  <si>
    <r>
      <t xml:space="preserve">________. 1989. Sperm whale </t>
    </r>
    <r>
      <rPr>
        <i/>
        <sz val="10"/>
        <color indexed="8"/>
        <rFont val="Aptos Narrow"/>
        <family val="2"/>
      </rPr>
      <t>Physeter macrocephalus</t>
    </r>
    <r>
      <rPr>
        <sz val="10"/>
        <color indexed="8"/>
        <rFont val="Aptos Narrow"/>
        <family val="2"/>
      </rPr>
      <t xml:space="preserve"> Linnaeus,1758. Pages 177-233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 Ridgway and R. Harrison eds. Handbook  of Marine Mammals, Vol 4. Academic Press, London.</t>
    </r>
  </si>
  <si>
    <r>
      <t>________. and A.A. Wolman. 1971. The life history and ecology of the gray whale (</t>
    </r>
    <r>
      <rPr>
        <i/>
        <sz val="10"/>
        <color indexed="8"/>
        <rFont val="Aptos Narrow"/>
        <family val="2"/>
      </rPr>
      <t>Eschrichtius robustus</t>
    </r>
    <r>
      <rPr>
        <sz val="10"/>
        <color indexed="8"/>
        <rFont val="Aptos Narrow"/>
        <family val="2"/>
      </rPr>
      <t>) American Society of Mammologists. Special Publication 3.</t>
    </r>
  </si>
  <si>
    <r>
      <t xml:space="preserve">Rojas-Bracho, L. and A. Jaramillo-Legorreta. 2002. Vaquita: </t>
    </r>
    <r>
      <rPr>
        <i/>
        <sz val="10"/>
        <color indexed="8"/>
        <rFont val="Aptos Narrow"/>
        <family val="2"/>
      </rPr>
      <t>Phocoena sinus.</t>
    </r>
    <r>
      <rPr>
        <sz val="10"/>
        <color indexed="8"/>
        <rFont val="Aptos Narrow"/>
        <family val="2"/>
      </rPr>
      <t xml:space="preserve"> Pages 1277-1280 </t>
    </r>
    <r>
      <rPr>
        <i/>
        <sz val="10"/>
        <color indexed="8"/>
        <rFont val="Aptos Narrow"/>
        <family val="2"/>
      </rPr>
      <t xml:space="preserve"> 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</si>
  <si>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Rugh, D.J., and K.E.W. Sheldon. 2002. Bowhead Whale </t>
    </r>
    <r>
      <rPr>
        <i/>
        <sz val="10"/>
        <color indexed="8"/>
        <rFont val="Aptos Narrow"/>
        <family val="2"/>
      </rPr>
      <t>Balaena mysticetus</t>
    </r>
    <r>
      <rPr>
        <sz val="10"/>
        <color indexed="8"/>
        <rFont val="Aptos Narrow"/>
        <family val="2"/>
      </rPr>
      <t xml:space="preserve">. Pages 129-131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</si>
  <si>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Scheffer, V.B 1978a. False Killer Whale Pages 128-131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 Marine Mammals of the Eastern North Pacific and Arctic Waters. Pacific Search Press, Seattle,W.A.</t>
    </r>
  </si>
  <si>
    <r>
      <t xml:space="preserve">________. 1978b. Killer whale. Pages 120-127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D.Haley, ed. Marine Mammals of the Eastern North Pacific and Arctic Waters. Pacific Search Press, Seattle,W.A.</t>
    </r>
  </si>
  <si>
    <r>
      <t xml:space="preserve">Schell,D.M., and S.M.Saupe. 1993. Feeding and growth as indicated by stable isotopes. Pages 491-509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J.J.Burns, J.J.Montague, and C.C.Cowles, eds. The bowhead whale. Special Publication no.2. Society of Marine Mammology. Allen Press Inc., Lawrence, Kansas</t>
    </r>
  </si>
  <si>
    <r>
      <t>Sergeant, D.E. 1973. Biology of white whales (</t>
    </r>
    <r>
      <rPr>
        <i/>
        <sz val="10"/>
        <color indexed="8"/>
        <rFont val="Aptos Narrow"/>
        <family val="2"/>
      </rPr>
      <t>Delphinapterus leucas</t>
    </r>
    <r>
      <rPr>
        <sz val="10"/>
        <color indexed="8"/>
        <rFont val="Aptos Narrow"/>
        <family val="2"/>
      </rPr>
      <t xml:space="preserve">) in western Hudson Bay. Journal of the Fisheries Research Board of Canada. 30:1065-1090 </t>
    </r>
  </si>
  <si>
    <r>
      <t xml:space="preserve">Sergeant,D.E,, D.J.St. Aubin, and J.R.Geraci. 1980. Life history and northwest Atlantic status of the Atlantic white-sided dolphin, </t>
    </r>
    <r>
      <rPr>
        <i/>
        <sz val="10"/>
        <color indexed="8"/>
        <rFont val="Aptos Narrow"/>
        <family val="2"/>
      </rPr>
      <t>Lagenorhynchus acutus</t>
    </r>
    <r>
      <rPr>
        <sz val="10"/>
        <color indexed="8"/>
        <rFont val="Aptos Narrow"/>
        <family val="2"/>
      </rPr>
      <t>. Cetology. 37:1-12</t>
    </r>
  </si>
  <si>
    <r>
      <t xml:space="preserve">Shirakihara, M., A. Takemura, and K. Shirakihara. 1993. Age, growth, and reproduction of the finless porpoise, </t>
    </r>
    <r>
      <rPr>
        <i/>
        <sz val="10"/>
        <color indexed="8"/>
        <rFont val="Aptos Narrow"/>
        <family val="2"/>
      </rPr>
      <t>Neophocaena phocaenoides</t>
    </r>
    <r>
      <rPr>
        <sz val="10"/>
        <color indexed="8"/>
        <rFont val="Aptos Narrow"/>
        <family val="2"/>
      </rPr>
      <t>, in the coastal waters of western Kyushu, Japan. Marine Mammal Science.  9:392-406</t>
    </r>
  </si>
  <si>
    <r>
      <t>Simons, L.S. 1984. Seasonality of reproduction and dentinal structures in the harbor porpoise (</t>
    </r>
    <r>
      <rPr>
        <i/>
        <sz val="10"/>
        <color indexed="8"/>
        <rFont val="Aptos Narrow"/>
        <family val="2"/>
      </rPr>
      <t>Phocoena phocoena</t>
    </r>
    <r>
      <rPr>
        <sz val="10"/>
        <color indexed="8"/>
        <rFont val="Aptos Narrow"/>
        <family val="2"/>
      </rPr>
      <t>) of the North Pacific. Journal of Mammalogy.65:491-95</t>
    </r>
  </si>
  <si>
    <r>
      <t xml:space="preserve">Slooten,E., and S.M. Dawson.1988. Studies on Hector’s dolphin, </t>
    </r>
    <r>
      <rPr>
        <i/>
        <sz val="10"/>
        <color indexed="8"/>
        <rFont val="Aptos Narrow"/>
        <family val="2"/>
      </rPr>
      <t xml:space="preserve">Cephalorhynchus hectori </t>
    </r>
    <r>
      <rPr>
        <sz val="10"/>
        <color indexed="8"/>
        <rFont val="Aptos Narrow"/>
        <family val="2"/>
      </rPr>
      <t xml:space="preserve">: a progress report. Pages 325-338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R. Brownell, Jr., and G.P. Donovan, eds. Biology of the genus </t>
    </r>
    <r>
      <rPr>
        <i/>
        <sz val="10"/>
        <color indexed="8"/>
        <rFont val="Aptos Narrow"/>
        <family val="2"/>
      </rPr>
      <t>Cephalorynchus</t>
    </r>
    <r>
      <rPr>
        <sz val="10"/>
        <color indexed="8"/>
        <rFont val="Aptos Narrow"/>
        <family val="2"/>
      </rPr>
      <t>. Report of the International Whaling Commission. Special Issue 9</t>
    </r>
  </si>
  <si>
    <r>
      <t xml:space="preserve">Smith, B.D.  2002. Susu and Bhulan </t>
    </r>
    <r>
      <rPr>
        <i/>
        <sz val="10"/>
        <color indexed="8"/>
        <rFont val="Aptos Narrow"/>
        <family val="2"/>
      </rPr>
      <t>Plantanista gangetica ganetica</t>
    </r>
    <r>
      <rPr>
        <sz val="10"/>
        <color indexed="8"/>
        <rFont val="Aptos Narrow"/>
        <family val="2"/>
      </rPr>
      <t xml:space="preserve"> and </t>
    </r>
    <r>
      <rPr>
        <i/>
        <sz val="10"/>
        <color indexed="8"/>
        <rFont val="Aptos Narrow"/>
        <family val="2"/>
      </rPr>
      <t>P.g. minor</t>
    </r>
    <r>
      <rPr>
        <sz val="10"/>
        <color indexed="8"/>
        <rFont val="Aptos Narrow"/>
        <family val="2"/>
      </rPr>
      <t xml:space="preserve">. Pages 1208-1212 .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</si>
  <si>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Stacey, P. J., S. Leatherwood, and R.W. Baird. 1994. </t>
    </r>
    <r>
      <rPr>
        <i/>
        <sz val="10"/>
        <color indexed="8"/>
        <rFont val="Aptos Narrow"/>
        <family val="2"/>
      </rPr>
      <t>Pseudorca crassidensis</t>
    </r>
    <r>
      <rPr>
        <sz val="10"/>
        <color indexed="8"/>
        <rFont val="Aptos Narrow"/>
        <family val="2"/>
      </rPr>
      <t>. Mammalian Species. 456:1-6</t>
    </r>
  </si>
  <si>
    <r>
      <t xml:space="preserve">Strong, J.T. 1988. Status of the narwhal,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>, in Canada. Canadian Field-Naturalist. 102:391-398</t>
    </r>
  </si>
  <si>
    <r>
      <t xml:space="preserve">Van Waerebeek , K., and A.J. Read. 1994.  Reproduction of dusky dolphins, </t>
    </r>
    <r>
      <rPr>
        <i/>
        <sz val="10"/>
        <color indexed="8"/>
        <rFont val="Aptos Narrow"/>
        <family val="2"/>
      </rPr>
      <t>Lagenorhynchus obscures</t>
    </r>
    <r>
      <rPr>
        <sz val="10"/>
        <color indexed="8"/>
        <rFont val="Aptos Narrow"/>
        <family val="2"/>
      </rPr>
      <t>, from coastal Peru. Journal of Mammalogy. 75:1054-1056</t>
    </r>
  </si>
  <si>
    <r>
      <t xml:space="preserve">Van Waerebeek,K. and Würsig,B. 2002. Pacific White-Sided Dolphin and Dusky Dolphin: </t>
    </r>
    <r>
      <rPr>
        <i/>
        <sz val="10"/>
        <color indexed="8"/>
        <rFont val="Aptos Narrow"/>
        <family val="2"/>
      </rPr>
      <t>Lagenorhynchus</t>
    </r>
    <r>
      <rPr>
        <sz val="10"/>
        <color indexed="8"/>
        <rFont val="Aptos Narrow"/>
        <family val="2"/>
      </rPr>
      <t xml:space="preserve"> </t>
    </r>
    <r>
      <rPr>
        <i/>
        <sz val="10"/>
        <color indexed="8"/>
        <rFont val="Aptos Narrow"/>
        <family val="2"/>
      </rPr>
      <t xml:space="preserve">obliquidens </t>
    </r>
    <r>
      <rPr>
        <sz val="10"/>
        <color indexed="8"/>
        <rFont val="Aptos Narrow"/>
        <family val="2"/>
      </rPr>
      <t xml:space="preserve">and </t>
    </r>
    <r>
      <rPr>
        <i/>
        <sz val="10"/>
        <color indexed="8"/>
        <rFont val="Aptos Narrow"/>
        <family val="2"/>
      </rPr>
      <t>L.obscurus</t>
    </r>
    <r>
      <rPr>
        <sz val="10"/>
        <color indexed="8"/>
        <rFont val="Aptos Narrow"/>
        <family val="2"/>
      </rPr>
      <t xml:space="preserve"> Pages 859-861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</si>
  <si>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Walker, A.W., S. Leatherwood, K.R. Goodrich, W.F. Perrin, and R.K. Stroud. 1986. Geographical variation and biology of the Pacific white-sided dolphin, </t>
    </r>
    <r>
      <rPr>
        <i/>
        <sz val="10"/>
        <color indexed="8"/>
        <rFont val="Aptos Narrow"/>
        <family val="2"/>
      </rPr>
      <t>Lagenorhynchus obliquidens</t>
    </r>
    <r>
      <rPr>
        <sz val="10"/>
        <color indexed="8"/>
        <rFont val="Aptos Narrow"/>
        <family val="2"/>
      </rPr>
      <t xml:space="preserve">, in the northeastern Pacific. Pages 441-465 </t>
    </r>
    <r>
      <rPr>
        <i/>
        <sz val="10"/>
        <color indexed="8"/>
        <rFont val="Aptos Narrow"/>
        <family val="2"/>
      </rPr>
      <t xml:space="preserve">in </t>
    </r>
    <r>
      <rPr>
        <sz val="10"/>
        <color indexed="8"/>
        <rFont val="Aptos Narrow"/>
        <family val="2"/>
      </rPr>
      <t>M.M. Bryden and R.J. Harrison, eds. Research on Dolphins. Oxford University Press, Oxford.</t>
    </r>
  </si>
  <si>
    <r>
      <t xml:space="preserve">Wells,R.S. and M.D. Scott. 2002 Bottlenose Dolphins: </t>
    </r>
    <r>
      <rPr>
        <i/>
        <sz val="10"/>
        <color indexed="8"/>
        <rFont val="Aptos Narrow"/>
        <family val="2"/>
      </rPr>
      <t>Tursiops truncatus</t>
    </r>
    <r>
      <rPr>
        <sz val="10"/>
        <color indexed="8"/>
        <rFont val="Aptos Narrow"/>
        <family val="2"/>
      </rPr>
      <t xml:space="preserve"> and </t>
    </r>
    <r>
      <rPr>
        <i/>
        <sz val="10"/>
        <color indexed="8"/>
        <rFont val="Aptos Narrow"/>
        <family val="2"/>
      </rPr>
      <t xml:space="preserve">T. aduncus </t>
    </r>
    <r>
      <rPr>
        <sz val="10"/>
        <color indexed="8"/>
        <rFont val="Aptos Narrow"/>
        <family val="2"/>
      </rPr>
      <t xml:space="preserve">Pages 122-127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</si>
  <si>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Whitehead, H.  2002. Sperm whale </t>
    </r>
    <r>
      <rPr>
        <i/>
        <sz val="10"/>
        <color indexed="8"/>
        <rFont val="Aptos Narrow"/>
        <family val="2"/>
      </rPr>
      <t>Physeter macrocephalus</t>
    </r>
    <r>
      <rPr>
        <sz val="10"/>
        <color indexed="8"/>
        <rFont val="Aptos Narrow"/>
        <family val="2"/>
      </rPr>
      <t xml:space="preserve">. Pages 1165-1172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</si>
  <si>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 xml:space="preserve">Winn,H.E. and, N.E. Reichley. 1985. Humpback whale-Megaptera novaeangliae. Pages 241-273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S.H.Ridgway and R. Harrison, eds. Handbook of Marine Mammals, Vol 3. Academic Press, London. </t>
    </r>
  </si>
  <si>
    <r>
      <t xml:space="preserve">Würsig, B. and, M. Wursig. 1980. Bahaviour and ecology of dusky dolphin, </t>
    </r>
    <r>
      <rPr>
        <i/>
        <sz val="10"/>
        <color indexed="8"/>
        <rFont val="Aptos Narrow"/>
        <family val="2"/>
      </rPr>
      <t>Lagenorhynchus obscures</t>
    </r>
    <r>
      <rPr>
        <sz val="10"/>
        <color indexed="8"/>
        <rFont val="Aptos Narrow"/>
        <family val="2"/>
      </rPr>
      <t>, in the South Atlantic. Fishery Bulletin. 77:871-890</t>
    </r>
  </si>
  <si>
    <r>
      <t xml:space="preserve">Yablokov, A.V., and L.S. Bogoslovskaya. 1984. A review on Russian researchon the biology and commercial whaling of gray whale. Pages 465-485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M.L. Jones, S.L. Swartz, and S. Leatherwood, eds. The Gray Whale Eschrichtius robustus. Academic Press. San Diego, California.</t>
    </r>
  </si>
  <si>
    <r>
      <t xml:space="preserve">Yochem, P.K., and S.Leatherwood 1985. Blue whale Balaenoptera musculus. Pages 193-240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S.H.Ridgway and R. Harrison, eds. Handbook of Marine Mammals, Vol 3. Academic Press, London. </t>
    </r>
  </si>
  <si>
    <r>
      <t xml:space="preserve">Zeh, J.E., C.W. Clark, J.C. George, D. Withrow, G.M. Carroll, and W.R. Koski. 1993. Current population size and dynamics. Pages 409-489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J.J.Burns, J.J.Montague, and C.C.Cowles, eds. The bowhead whale. Special Publication no.2. Society of Marine Mammology. Allen Press Inc., Lawrence, Kansas.</t>
    </r>
  </si>
  <si>
    <r>
      <t xml:space="preserve">Heide-JØrgensen, M.P. 2002. Narwhal: </t>
    </r>
    <r>
      <rPr>
        <i/>
        <sz val="10"/>
        <color indexed="8"/>
        <rFont val="Aptos Narrow"/>
        <family val="2"/>
      </rPr>
      <t>Monodon monoceros</t>
    </r>
    <r>
      <rPr>
        <sz val="10"/>
        <color indexed="8"/>
        <rFont val="Aptos Narrow"/>
        <family val="2"/>
      </rPr>
      <t xml:space="preserve">. Pages 783-787  </t>
    </r>
    <r>
      <rPr>
        <i/>
        <sz val="10"/>
        <color indexed="8"/>
        <rFont val="Aptos Narrow"/>
        <family val="2"/>
      </rPr>
      <t>in</t>
    </r>
    <r>
      <rPr>
        <sz val="10"/>
        <color indexed="8"/>
        <rFont val="Aptos Narrow"/>
        <family val="2"/>
      </rPr>
      <t xml:space="preserve"> W.F. Perrin, B. Würsig and J. G. M. Thewissen, eds. Encyclopedia of Marine Mammals. Academic Press. San Diego, California.</t>
    </r>
  </si>
  <si>
    <r>
      <t>Stewart, R.E.A., S.E. Campana, C.M. Jones, B.E. Stewart. 2007. Bomb radiocarbon dating calibrates beluga (</t>
    </r>
    <r>
      <rPr>
        <i/>
        <sz val="10"/>
        <color indexed="8"/>
        <rFont val="Aptos Narrow"/>
        <family val="2"/>
      </rPr>
      <t>Delphinapterus leucas</t>
    </r>
    <r>
      <rPr>
        <sz val="10"/>
        <color indexed="8"/>
        <rFont val="Aptos Narrow"/>
        <family val="2"/>
      </rPr>
      <t>) age estimates. Canadian Journal of Zoology. 84:1840-1852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</si>
</sst>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1F2328"/>
      <name val="Calibri"/>
      <family val="2"/>
    </font>
    <font>
      <sz val="12"/>
      <color rgb="FF1F2328"/>
      <name val="Calibri"/>
      <family val="2"/>
    </font>
    <font>
      <sz val="10"/>
      <name val="Arial"/>
    </font>
    <font>
      <sz val="11"/>
      <color indexed="8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0"/>
      <color indexed="8"/>
      <name val="Aptos Narrow"/>
      <family val="2"/>
    </font>
    <font>
      <i/>
      <sz val="10"/>
      <color indexed="8"/>
      <name val="Aptos Narrow"/>
      <family val="2"/>
    </font>
    <font>
      <vertAlign val="superscript"/>
      <sz val="10"/>
      <color indexed="8"/>
      <name val="Aptos Narrow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4">
    <xf numFmtId="0" fontId="0" fillId="0" borderId="0" xfId="0"/>
    <xf numFmtId="3" fontId="0" fillId="0" borderId="0" xfId="0" applyNumberFormat="1"/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horizontal="left" wrapText="1" indent="2"/>
    </xf>
    <xf numFmtId="0" fontId="18" fillId="0" borderId="0" xfId="0" applyFont="1" applyAlignment="1">
      <alignment horizontal="left" wrapText="1" indent="2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3" fontId="23" fillId="0" borderId="0" xfId="0" applyNumberFormat="1" applyFont="1" applyAlignment="1">
      <alignment horizontal="left"/>
    </xf>
    <xf numFmtId="0" fontId="24" fillId="0" borderId="0" xfId="42" applyFont="1" applyAlignment="1">
      <alignment horizontal="left"/>
    </xf>
    <xf numFmtId="0" fontId="23" fillId="0" borderId="0" xfId="0" applyFont="1"/>
    <xf numFmtId="0" fontId="25" fillId="0" borderId="0" xfId="0" applyFont="1"/>
    <xf numFmtId="0" fontId="28" fillId="0" borderId="0" xfId="0" applyFont="1"/>
    <xf numFmtId="0" fontId="2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C9122A00-446D-47CD-8593-2136E6056EC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5FB9-1028-46FD-B5C8-12DB11D8FA56}">
  <dimension ref="A1:AM43"/>
  <sheetViews>
    <sheetView tabSelected="1" workbookViewId="0">
      <selection activeCell="D16" sqref="D16"/>
    </sheetView>
  </sheetViews>
  <sheetFormatPr defaultRowHeight="14.5" x14ac:dyDescent="0.35"/>
  <cols>
    <col min="3" max="3" width="25.6328125" customWidth="1"/>
    <col min="4" max="4" width="41.36328125" style="7" customWidth="1"/>
  </cols>
  <sheetData>
    <row r="1" spans="1:39" x14ac:dyDescent="0.35">
      <c r="A1" t="s">
        <v>0</v>
      </c>
      <c r="B1" t="s">
        <v>1</v>
      </c>
      <c r="C1" t="s">
        <v>2</v>
      </c>
      <c r="D1" s="6" t="s">
        <v>175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5">
      <c r="A2" t="s">
        <v>38</v>
      </c>
      <c r="B2" t="s">
        <v>149</v>
      </c>
      <c r="C2" t="s">
        <v>150</v>
      </c>
      <c r="D2" s="7" t="s">
        <v>176</v>
      </c>
      <c r="E2" t="s">
        <v>151</v>
      </c>
      <c r="F2" t="s">
        <v>152</v>
      </c>
      <c r="G2" t="s">
        <v>173</v>
      </c>
      <c r="H2" t="s">
        <v>57</v>
      </c>
      <c r="I2">
        <v>1280</v>
      </c>
      <c r="J2">
        <v>3.10720997</v>
      </c>
      <c r="K2">
        <v>11380000</v>
      </c>
      <c r="L2">
        <v>7.0561422619999998</v>
      </c>
      <c r="M2">
        <v>7.046125</v>
      </c>
      <c r="N2">
        <v>1.0017599E-2</v>
      </c>
      <c r="O2">
        <v>17</v>
      </c>
      <c r="P2">
        <v>1.230448921</v>
      </c>
      <c r="Q2">
        <v>1.0958000000000001</v>
      </c>
      <c r="R2">
        <v>0.13464842799999999</v>
      </c>
      <c r="S2">
        <v>24</v>
      </c>
      <c r="T2">
        <v>1.3802112419999999</v>
      </c>
      <c r="U2">
        <v>1.481662</v>
      </c>
      <c r="V2">
        <v>-0.10145103</v>
      </c>
      <c r="W2">
        <v>84</v>
      </c>
      <c r="X2">
        <v>1.924279286</v>
      </c>
      <c r="Y2">
        <v>1.87443</v>
      </c>
      <c r="Z2">
        <v>4.984885E-2</v>
      </c>
      <c r="AA2">
        <v>460</v>
      </c>
      <c r="AB2">
        <v>2.662757832</v>
      </c>
      <c r="AC2">
        <v>0.12131128200000001</v>
      </c>
      <c r="AD2">
        <v>2.5414469999999998</v>
      </c>
      <c r="AE2">
        <v>12</v>
      </c>
      <c r="AF2">
        <v>1.0791812460000001</v>
      </c>
      <c r="AG2">
        <v>0.97575900000000004</v>
      </c>
      <c r="AH2">
        <v>0.103422289</v>
      </c>
      <c r="AI2">
        <v>3.6117233080000002</v>
      </c>
      <c r="AJ2">
        <v>4090</v>
      </c>
      <c r="AK2">
        <v>0.36399999999999999</v>
      </c>
      <c r="AL2">
        <v>45.6</v>
      </c>
      <c r="AM2">
        <v>45.6</v>
      </c>
    </row>
    <row r="3" spans="1:39" x14ac:dyDescent="0.35">
      <c r="A3" t="s">
        <v>38</v>
      </c>
      <c r="B3" t="s">
        <v>39</v>
      </c>
      <c r="C3" t="s">
        <v>40</v>
      </c>
      <c r="D3" s="7" t="s">
        <v>177</v>
      </c>
      <c r="E3" t="s">
        <v>41</v>
      </c>
      <c r="F3" t="s">
        <v>42</v>
      </c>
      <c r="G3" t="s">
        <v>172</v>
      </c>
      <c r="H3" t="s">
        <v>43</v>
      </c>
      <c r="I3">
        <v>175</v>
      </c>
      <c r="J3">
        <v>2.2430380489999999</v>
      </c>
      <c r="K3">
        <v>72400</v>
      </c>
      <c r="L3">
        <v>4.8597385659999999</v>
      </c>
      <c r="M3">
        <v>4.6843370000000002</v>
      </c>
      <c r="N3">
        <v>0.17540156600000001</v>
      </c>
      <c r="O3">
        <v>11.5</v>
      </c>
      <c r="P3">
        <v>1.06069784</v>
      </c>
      <c r="Q3">
        <v>1.0577399999999999</v>
      </c>
      <c r="R3">
        <v>2.9578690000000001E-3</v>
      </c>
      <c r="S3" t="s">
        <v>44</v>
      </c>
      <c r="T3">
        <v>1.3763350000000001</v>
      </c>
      <c r="U3">
        <v>1.3763350000000001</v>
      </c>
      <c r="V3">
        <v>0</v>
      </c>
      <c r="W3">
        <v>18</v>
      </c>
      <c r="X3">
        <v>1.255272505</v>
      </c>
      <c r="Y3">
        <v>1.3396980000000001</v>
      </c>
      <c r="Z3">
        <v>-8.4425159999999999E-2</v>
      </c>
      <c r="AA3">
        <v>65</v>
      </c>
      <c r="AB3">
        <v>1.812913357</v>
      </c>
      <c r="AC3">
        <v>-4.3549082000000003E-2</v>
      </c>
      <c r="AD3">
        <v>1.8564620000000001</v>
      </c>
      <c r="AE3">
        <v>7.5</v>
      </c>
      <c r="AF3">
        <v>0.87506126299999998</v>
      </c>
      <c r="AG3">
        <v>0.82485810000000004</v>
      </c>
      <c r="AH3">
        <v>5.0203207E-2</v>
      </c>
      <c r="AI3">
        <v>3.1731862679999998</v>
      </c>
      <c r="AJ3">
        <v>1490</v>
      </c>
      <c r="AK3">
        <v>0.20200000000000001</v>
      </c>
      <c r="AL3">
        <v>-54.3</v>
      </c>
      <c r="AM3">
        <v>54.3</v>
      </c>
    </row>
    <row r="4" spans="1:39" x14ac:dyDescent="0.35">
      <c r="A4" t="s">
        <v>38</v>
      </c>
      <c r="B4" t="s">
        <v>39</v>
      </c>
      <c r="C4" t="s">
        <v>45</v>
      </c>
      <c r="D4" s="7" t="s">
        <v>178</v>
      </c>
      <c r="E4" t="s">
        <v>46</v>
      </c>
      <c r="F4" t="s">
        <v>47</v>
      </c>
      <c r="G4" t="s">
        <v>173</v>
      </c>
      <c r="H4" t="s">
        <v>43</v>
      </c>
      <c r="I4">
        <v>174</v>
      </c>
      <c r="J4">
        <v>2.2405492480000002</v>
      </c>
      <c r="K4">
        <v>40000</v>
      </c>
      <c r="L4">
        <v>4.602059991</v>
      </c>
      <c r="M4">
        <v>4.6775349999999998</v>
      </c>
      <c r="N4">
        <v>-7.5475099000000004E-2</v>
      </c>
      <c r="O4">
        <v>10.5</v>
      </c>
      <c r="P4">
        <v>1.021189299</v>
      </c>
      <c r="Q4">
        <v>1.0576300000000001</v>
      </c>
      <c r="R4">
        <v>-3.6441058999999998E-2</v>
      </c>
      <c r="S4" t="s">
        <v>44</v>
      </c>
      <c r="T4">
        <v>1.375494</v>
      </c>
      <c r="U4">
        <v>1.375494</v>
      </c>
      <c r="V4">
        <v>0</v>
      </c>
      <c r="W4" t="s">
        <v>44</v>
      </c>
      <c r="X4">
        <v>1.325669</v>
      </c>
      <c r="Y4">
        <v>1.325669</v>
      </c>
      <c r="Z4">
        <v>0</v>
      </c>
      <c r="AA4">
        <v>85</v>
      </c>
      <c r="AB4">
        <v>1.9294189260000001</v>
      </c>
      <c r="AC4">
        <v>7.4929229999999999E-2</v>
      </c>
      <c r="AD4">
        <v>1.85449</v>
      </c>
      <c r="AE4">
        <v>7.5</v>
      </c>
      <c r="AF4">
        <v>0.87506126299999998</v>
      </c>
      <c r="AG4">
        <v>0.82442349999999998</v>
      </c>
      <c r="AH4">
        <v>5.0637798999999997E-2</v>
      </c>
      <c r="AI4">
        <v>3.2760019900000001</v>
      </c>
      <c r="AJ4">
        <v>1888</v>
      </c>
      <c r="AK4">
        <v>0.01</v>
      </c>
      <c r="AL4">
        <v>-3.5</v>
      </c>
      <c r="AM4">
        <v>3.5</v>
      </c>
    </row>
    <row r="5" spans="1:39" x14ac:dyDescent="0.35">
      <c r="A5" t="s">
        <v>38</v>
      </c>
      <c r="B5" t="s">
        <v>39</v>
      </c>
      <c r="C5" t="s">
        <v>48</v>
      </c>
      <c r="D5" s="7" t="s">
        <v>179</v>
      </c>
      <c r="E5" t="s">
        <v>49</v>
      </c>
      <c r="F5" t="s">
        <v>50</v>
      </c>
      <c r="G5" t="s">
        <v>172</v>
      </c>
      <c r="H5" t="s">
        <v>43</v>
      </c>
      <c r="I5">
        <v>180</v>
      </c>
      <c r="J5">
        <v>2.2552725050000002</v>
      </c>
      <c r="K5">
        <v>50000</v>
      </c>
      <c r="L5">
        <v>4.6989700040000004</v>
      </c>
      <c r="M5">
        <v>4.7177740000000004</v>
      </c>
      <c r="N5">
        <v>-1.8803846999999999E-2</v>
      </c>
      <c r="O5">
        <v>10.5</v>
      </c>
      <c r="P5">
        <v>1.021189299</v>
      </c>
      <c r="Q5">
        <v>1.058279</v>
      </c>
      <c r="R5">
        <v>-3.7089511999999998E-2</v>
      </c>
      <c r="S5">
        <v>36</v>
      </c>
      <c r="T5">
        <v>1.556302501</v>
      </c>
      <c r="U5">
        <v>1.425311</v>
      </c>
      <c r="V5">
        <v>0.13099125</v>
      </c>
      <c r="W5">
        <v>20</v>
      </c>
      <c r="X5">
        <v>1.301029996</v>
      </c>
      <c r="Y5">
        <v>1.3472679999999999</v>
      </c>
      <c r="Z5">
        <v>-4.6238109999999999E-2</v>
      </c>
      <c r="AA5">
        <v>60</v>
      </c>
      <c r="AB5">
        <v>1.7781512500000001</v>
      </c>
      <c r="AC5">
        <v>-8.8008804999999996E-2</v>
      </c>
      <c r="AD5">
        <v>1.86616</v>
      </c>
      <c r="AE5">
        <v>7.5</v>
      </c>
      <c r="AF5">
        <v>0.87506126299999998</v>
      </c>
      <c r="AG5">
        <v>0.82699440000000002</v>
      </c>
      <c r="AH5">
        <v>4.8066837000000001E-2</v>
      </c>
      <c r="AI5">
        <v>2.9273703630000001</v>
      </c>
      <c r="AJ5">
        <v>846</v>
      </c>
      <c r="AK5">
        <v>0.01</v>
      </c>
      <c r="AL5">
        <v>-43.3</v>
      </c>
      <c r="AM5">
        <v>43.3</v>
      </c>
    </row>
    <row r="6" spans="1:39" x14ac:dyDescent="0.35">
      <c r="A6" t="s">
        <v>38</v>
      </c>
      <c r="B6" t="s">
        <v>119</v>
      </c>
      <c r="C6" t="s">
        <v>120</v>
      </c>
      <c r="D6" s="7" t="s">
        <v>180</v>
      </c>
      <c r="E6" t="s">
        <v>121</v>
      </c>
      <c r="F6" t="s">
        <v>122</v>
      </c>
      <c r="G6" t="s">
        <v>174</v>
      </c>
      <c r="H6" t="s">
        <v>57</v>
      </c>
      <c r="I6">
        <v>550</v>
      </c>
      <c r="J6">
        <v>2.7403626889999999</v>
      </c>
      <c r="K6">
        <v>1360000</v>
      </c>
      <c r="L6">
        <v>6.1335389080000002</v>
      </c>
      <c r="M6">
        <v>6.0435290000000004</v>
      </c>
      <c r="N6">
        <v>9.0010327000000001E-2</v>
      </c>
      <c r="O6">
        <v>14.5</v>
      </c>
      <c r="P6">
        <v>1.1613680019999999</v>
      </c>
      <c r="Q6">
        <v>1.079644</v>
      </c>
      <c r="R6">
        <v>8.1724478000000003E-2</v>
      </c>
      <c r="S6">
        <v>36</v>
      </c>
      <c r="T6">
        <v>1.556302501</v>
      </c>
      <c r="U6">
        <v>1.4573970000000001</v>
      </c>
      <c r="V6">
        <v>9.8905179999999995E-2</v>
      </c>
      <c r="W6">
        <v>77</v>
      </c>
      <c r="X6">
        <v>1.886490725</v>
      </c>
      <c r="Y6">
        <v>1.647432</v>
      </c>
      <c r="Z6">
        <v>0.23905825</v>
      </c>
      <c r="AA6">
        <v>150</v>
      </c>
      <c r="AB6">
        <v>2.1760912590000001</v>
      </c>
      <c r="AC6">
        <v>-7.4574541999999994E-2</v>
      </c>
      <c r="AD6">
        <v>2.2506659999999998</v>
      </c>
      <c r="AE6">
        <v>9</v>
      </c>
      <c r="AF6">
        <v>0.95424250899999996</v>
      </c>
      <c r="AG6">
        <v>0.91170039999999997</v>
      </c>
      <c r="AH6">
        <v>4.2542085E-2</v>
      </c>
      <c r="AI6">
        <v>2.946452265</v>
      </c>
      <c r="AJ6">
        <v>884</v>
      </c>
      <c r="AK6">
        <v>8.42</v>
      </c>
      <c r="AL6">
        <v>72.400000000000006</v>
      </c>
      <c r="AM6">
        <v>72.400000000000006</v>
      </c>
    </row>
    <row r="7" spans="1:39" x14ac:dyDescent="0.35">
      <c r="A7" t="s">
        <v>38</v>
      </c>
      <c r="B7" t="s">
        <v>39</v>
      </c>
      <c r="C7" t="s">
        <v>51</v>
      </c>
      <c r="D7" s="8">
        <v>39110130</v>
      </c>
      <c r="E7" t="s">
        <v>52</v>
      </c>
      <c r="F7" t="s">
        <v>53</v>
      </c>
      <c r="G7" t="s">
        <v>172</v>
      </c>
      <c r="H7" t="s">
        <v>43</v>
      </c>
      <c r="I7">
        <v>260</v>
      </c>
      <c r="J7">
        <v>2.4149733480000002</v>
      </c>
      <c r="K7">
        <v>80000</v>
      </c>
      <c r="L7">
        <v>4.9030899870000004</v>
      </c>
      <c r="M7">
        <v>5.1542370000000002</v>
      </c>
      <c r="N7">
        <v>-0.25114734</v>
      </c>
      <c r="O7">
        <v>10.5</v>
      </c>
      <c r="P7">
        <v>1.021189299</v>
      </c>
      <c r="Q7">
        <v>1.065312</v>
      </c>
      <c r="R7">
        <v>-4.4123178999999998E-2</v>
      </c>
      <c r="S7">
        <v>24</v>
      </c>
      <c r="T7">
        <v>1.3802112419999999</v>
      </c>
      <c r="U7">
        <v>1.435875</v>
      </c>
      <c r="V7">
        <v>-5.566335E-2</v>
      </c>
      <c r="W7">
        <v>22</v>
      </c>
      <c r="X7">
        <v>1.342422681</v>
      </c>
      <c r="Y7">
        <v>1.446088</v>
      </c>
      <c r="Z7">
        <v>-0.1036652</v>
      </c>
      <c r="AA7">
        <v>85</v>
      </c>
      <c r="AB7">
        <v>1.9294189260000001</v>
      </c>
      <c r="AC7">
        <v>-6.3327676999999999E-2</v>
      </c>
      <c r="AD7">
        <v>1.992747</v>
      </c>
      <c r="AE7">
        <v>7.5</v>
      </c>
      <c r="AF7">
        <v>0.87506126299999998</v>
      </c>
      <c r="AG7">
        <v>0.85488120000000001</v>
      </c>
      <c r="AH7">
        <v>2.0180024000000001E-2</v>
      </c>
      <c r="AI7">
        <v>3.5634810849999998</v>
      </c>
      <c r="AJ7">
        <v>3660</v>
      </c>
      <c r="AK7">
        <v>7.9799999999999996E-2</v>
      </c>
      <c r="AL7">
        <v>18.3</v>
      </c>
      <c r="AM7">
        <v>18.3</v>
      </c>
    </row>
    <row r="8" spans="1:39" x14ac:dyDescent="0.35">
      <c r="A8" t="s">
        <v>38</v>
      </c>
      <c r="B8" t="s">
        <v>39</v>
      </c>
      <c r="C8" t="s">
        <v>54</v>
      </c>
      <c r="D8" s="7" t="s">
        <v>181</v>
      </c>
      <c r="E8" t="s">
        <v>55</v>
      </c>
      <c r="F8" t="s">
        <v>56</v>
      </c>
      <c r="G8" t="s">
        <v>174</v>
      </c>
      <c r="H8" t="s">
        <v>57</v>
      </c>
      <c r="I8">
        <v>720</v>
      </c>
      <c r="J8">
        <v>2.8573324960000002</v>
      </c>
      <c r="K8">
        <v>726000</v>
      </c>
      <c r="L8">
        <v>5.8609366209999996</v>
      </c>
      <c r="M8">
        <v>6.3632080000000002</v>
      </c>
      <c r="N8">
        <v>-0.50227122700000004</v>
      </c>
      <c r="O8">
        <v>15</v>
      </c>
      <c r="P8">
        <v>1.1760912590000001</v>
      </c>
      <c r="Q8">
        <v>1.084795</v>
      </c>
      <c r="R8">
        <v>9.1296060999999998E-2</v>
      </c>
      <c r="S8">
        <v>84</v>
      </c>
      <c r="T8">
        <v>1.924279286</v>
      </c>
      <c r="U8">
        <v>1.4651339999999999</v>
      </c>
      <c r="V8">
        <v>0.45914505</v>
      </c>
      <c r="W8">
        <v>63</v>
      </c>
      <c r="X8">
        <v>1.7993405490000001</v>
      </c>
      <c r="Y8">
        <v>1.719811</v>
      </c>
      <c r="Z8">
        <v>7.9529440000000007E-2</v>
      </c>
      <c r="AA8">
        <v>185</v>
      </c>
      <c r="AB8">
        <v>2.2671717280000001</v>
      </c>
      <c r="AC8">
        <v>-7.6209951999999997E-2</v>
      </c>
      <c r="AD8">
        <v>2.3433820000000001</v>
      </c>
      <c r="AE8">
        <v>9</v>
      </c>
      <c r="AF8">
        <v>0.95424250899999996</v>
      </c>
      <c r="AG8">
        <v>0.9321256</v>
      </c>
      <c r="AH8">
        <v>2.2116924999999999E-2</v>
      </c>
      <c r="AI8">
        <v>3.62324929</v>
      </c>
      <c r="AJ8">
        <v>4200</v>
      </c>
      <c r="AK8">
        <v>1.35E-2</v>
      </c>
      <c r="AL8">
        <v>-1.24</v>
      </c>
      <c r="AM8">
        <v>1.2</v>
      </c>
    </row>
    <row r="9" spans="1:39" x14ac:dyDescent="0.35">
      <c r="A9" t="s">
        <v>38</v>
      </c>
      <c r="B9" t="s">
        <v>39</v>
      </c>
      <c r="C9" t="s">
        <v>58</v>
      </c>
      <c r="D9" s="7" t="s">
        <v>182</v>
      </c>
      <c r="E9" t="s">
        <v>59</v>
      </c>
      <c r="F9" t="s">
        <v>60</v>
      </c>
      <c r="G9" t="s">
        <v>174</v>
      </c>
      <c r="H9" t="s">
        <v>43</v>
      </c>
      <c r="I9">
        <v>630</v>
      </c>
      <c r="J9">
        <v>2.7993405490000001</v>
      </c>
      <c r="K9">
        <v>800000</v>
      </c>
      <c r="L9">
        <v>5.9030899870000004</v>
      </c>
      <c r="M9">
        <v>6.2047150000000002</v>
      </c>
      <c r="N9">
        <v>-0.30162548099999997</v>
      </c>
      <c r="O9">
        <v>12</v>
      </c>
      <c r="P9">
        <v>1.0791812460000001</v>
      </c>
      <c r="Q9">
        <v>1.082241</v>
      </c>
      <c r="R9">
        <v>-3.0598259999999999E-3</v>
      </c>
      <c r="S9">
        <v>42</v>
      </c>
      <c r="T9">
        <v>1.62324929</v>
      </c>
      <c r="U9">
        <v>1.461298</v>
      </c>
      <c r="V9">
        <v>0.16195091</v>
      </c>
      <c r="W9">
        <v>60</v>
      </c>
      <c r="X9">
        <v>1.7781512500000001</v>
      </c>
      <c r="Y9">
        <v>1.683927</v>
      </c>
      <c r="Z9">
        <v>9.4224429999999998E-2</v>
      </c>
      <c r="AA9">
        <v>176</v>
      </c>
      <c r="AB9">
        <v>2.2455126679999999</v>
      </c>
      <c r="AC9">
        <v>-5.1901813999999998E-2</v>
      </c>
      <c r="AD9">
        <v>2.2974139999999998</v>
      </c>
      <c r="AE9">
        <v>12</v>
      </c>
      <c r="AF9">
        <v>1.0791812460000001</v>
      </c>
      <c r="AG9">
        <v>0.92199909999999996</v>
      </c>
      <c r="AH9">
        <v>0.15718216199999999</v>
      </c>
      <c r="AI9">
        <v>3.596597096</v>
      </c>
      <c r="AJ9">
        <v>3950</v>
      </c>
      <c r="AK9">
        <v>0.49199999999999999</v>
      </c>
      <c r="AL9">
        <v>-31.6</v>
      </c>
      <c r="AM9">
        <v>31.6</v>
      </c>
    </row>
    <row r="10" spans="1:39" x14ac:dyDescent="0.35">
      <c r="A10" t="s">
        <v>38</v>
      </c>
      <c r="B10" t="s">
        <v>39</v>
      </c>
      <c r="C10" t="s">
        <v>61</v>
      </c>
      <c r="D10" s="7" t="s">
        <v>183</v>
      </c>
      <c r="E10" t="s">
        <v>62</v>
      </c>
      <c r="F10" t="s">
        <v>63</v>
      </c>
      <c r="G10" t="s">
        <v>172</v>
      </c>
      <c r="H10" t="s">
        <v>43</v>
      </c>
      <c r="I10">
        <v>400</v>
      </c>
      <c r="J10">
        <v>2.602059991</v>
      </c>
      <c r="K10">
        <v>387500</v>
      </c>
      <c r="L10">
        <v>5.5882717069999996</v>
      </c>
      <c r="M10">
        <v>5.665546</v>
      </c>
      <c r="N10">
        <v>-7.7274671000000003E-2</v>
      </c>
      <c r="O10">
        <v>12</v>
      </c>
      <c r="P10">
        <v>1.0791812460000001</v>
      </c>
      <c r="Q10">
        <v>1.0735520000000001</v>
      </c>
      <c r="R10">
        <v>5.6289549999999997E-3</v>
      </c>
      <c r="S10" t="s">
        <v>44</v>
      </c>
      <c r="T10">
        <v>1.49762</v>
      </c>
      <c r="U10">
        <v>1.49762</v>
      </c>
      <c r="V10">
        <v>0</v>
      </c>
      <c r="W10">
        <v>42.5</v>
      </c>
      <c r="X10">
        <v>1.6283889300000001</v>
      </c>
      <c r="Y10">
        <v>1.5618529999999999</v>
      </c>
      <c r="Z10">
        <v>6.6535479999999994E-2</v>
      </c>
      <c r="AA10">
        <v>135</v>
      </c>
      <c r="AB10">
        <v>2.1303337679999998</v>
      </c>
      <c r="AC10">
        <v>-1.0706680999999999E-2</v>
      </c>
      <c r="AD10">
        <v>2.1410399999999998</v>
      </c>
      <c r="AE10" t="s">
        <v>44</v>
      </c>
      <c r="AF10">
        <v>0.91145659999999995</v>
      </c>
      <c r="AG10">
        <v>0.91145659999999995</v>
      </c>
      <c r="AH10">
        <v>0</v>
      </c>
      <c r="AI10">
        <v>3.5740312680000001</v>
      </c>
      <c r="AJ10">
        <v>3750</v>
      </c>
      <c r="AK10">
        <v>2.06E-2</v>
      </c>
      <c r="AL10">
        <v>10.1</v>
      </c>
      <c r="AM10">
        <v>10.1</v>
      </c>
    </row>
    <row r="11" spans="1:39" x14ac:dyDescent="0.35">
      <c r="A11" t="s">
        <v>38</v>
      </c>
      <c r="B11" t="s">
        <v>149</v>
      </c>
      <c r="C11" t="s">
        <v>153</v>
      </c>
      <c r="D11" s="7" t="s">
        <v>232</v>
      </c>
      <c r="E11" t="s">
        <v>154</v>
      </c>
      <c r="F11" t="s">
        <v>155</v>
      </c>
      <c r="G11" t="s">
        <v>172</v>
      </c>
      <c r="H11" t="s">
        <v>43</v>
      </c>
      <c r="I11">
        <v>980</v>
      </c>
      <c r="J11">
        <v>2.9912260759999998</v>
      </c>
      <c r="K11">
        <v>5800000</v>
      </c>
      <c r="L11">
        <v>6.7634279939999997</v>
      </c>
      <c r="M11">
        <v>6.7291400000000001</v>
      </c>
      <c r="N11">
        <v>3.4288091999999999E-2</v>
      </c>
      <c r="O11">
        <v>12</v>
      </c>
      <c r="P11">
        <v>1.0791812460000001</v>
      </c>
      <c r="Q11">
        <v>1.090692</v>
      </c>
      <c r="R11">
        <v>-1.1510996000000001E-2</v>
      </c>
      <c r="S11">
        <v>24</v>
      </c>
      <c r="T11">
        <v>1.3802112419999999</v>
      </c>
      <c r="U11">
        <v>1.4739910000000001</v>
      </c>
      <c r="V11">
        <v>-9.3779319999999999E-2</v>
      </c>
      <c r="W11">
        <v>37</v>
      </c>
      <c r="X11">
        <v>1.5682017239999999</v>
      </c>
      <c r="Y11">
        <v>1.802662</v>
      </c>
      <c r="Z11">
        <v>-0.23446012999999999</v>
      </c>
      <c r="AA11">
        <v>300</v>
      </c>
      <c r="AB11">
        <v>2.4771212550000001</v>
      </c>
      <c r="AC11">
        <v>2.7609102E-2</v>
      </c>
      <c r="AD11">
        <v>2.4495119999999999</v>
      </c>
      <c r="AE11">
        <v>10</v>
      </c>
      <c r="AF11">
        <v>1</v>
      </c>
      <c r="AG11">
        <v>0.95550599999999997</v>
      </c>
      <c r="AH11">
        <v>4.4494042999999997E-2</v>
      </c>
      <c r="AI11">
        <v>3.5051499779999999</v>
      </c>
      <c r="AJ11">
        <v>3200</v>
      </c>
      <c r="AK11">
        <v>0.28699999999999998</v>
      </c>
      <c r="AL11">
        <v>47.1</v>
      </c>
      <c r="AM11">
        <v>47.1</v>
      </c>
    </row>
    <row r="12" spans="1:39" x14ac:dyDescent="0.35">
      <c r="A12" t="s">
        <v>38</v>
      </c>
      <c r="B12" t="s">
        <v>113</v>
      </c>
      <c r="C12" t="s">
        <v>114</v>
      </c>
      <c r="D12" s="7" t="s">
        <v>184</v>
      </c>
      <c r="E12" t="s">
        <v>115</v>
      </c>
      <c r="F12" t="s">
        <v>116</v>
      </c>
      <c r="G12" t="s">
        <v>172</v>
      </c>
      <c r="H12" t="s">
        <v>43</v>
      </c>
      <c r="I12">
        <v>380</v>
      </c>
      <c r="J12">
        <v>2.579783597</v>
      </c>
      <c r="K12">
        <v>431500</v>
      </c>
      <c r="L12">
        <v>5.6349808000000001</v>
      </c>
      <c r="M12">
        <v>5.6046649999999998</v>
      </c>
      <c r="N12">
        <v>3.0315956000000002E-2</v>
      </c>
      <c r="O12">
        <v>10</v>
      </c>
      <c r="P12">
        <v>1</v>
      </c>
      <c r="Q12">
        <v>1.0725709999999999</v>
      </c>
      <c r="R12">
        <v>-7.2571177000000001E-2</v>
      </c>
      <c r="S12">
        <v>12</v>
      </c>
      <c r="T12">
        <v>1.0791812460000001</v>
      </c>
      <c r="U12">
        <v>1.4467760000000001</v>
      </c>
      <c r="V12">
        <v>-0.36759463999999997</v>
      </c>
      <c r="W12">
        <v>17</v>
      </c>
      <c r="X12">
        <v>1.230448921</v>
      </c>
      <c r="Y12">
        <v>1.5480689999999999</v>
      </c>
      <c r="Z12">
        <v>-0.31762033000000001</v>
      </c>
      <c r="AA12">
        <v>124.8</v>
      </c>
      <c r="AB12">
        <v>2.0962145849999998</v>
      </c>
      <c r="AC12">
        <v>-2.7168524999999999E-2</v>
      </c>
      <c r="AD12">
        <v>2.123383</v>
      </c>
      <c r="AE12" t="s">
        <v>44</v>
      </c>
      <c r="AF12">
        <v>0.90479909999999997</v>
      </c>
      <c r="AG12">
        <v>0.90479909999999997</v>
      </c>
      <c r="AH12">
        <v>0</v>
      </c>
      <c r="AI12">
        <v>3.6263403670000001</v>
      </c>
      <c r="AJ12">
        <v>4230</v>
      </c>
      <c r="AK12">
        <v>1.3299999999999999E-2</v>
      </c>
      <c r="AL12">
        <v>-0.159</v>
      </c>
      <c r="AM12">
        <v>0.2</v>
      </c>
    </row>
    <row r="13" spans="1:39" x14ac:dyDescent="0.35">
      <c r="A13" t="s">
        <v>38</v>
      </c>
      <c r="B13" t="s">
        <v>113</v>
      </c>
      <c r="C13" t="s">
        <v>117</v>
      </c>
      <c r="D13" s="8">
        <v>165166167168</v>
      </c>
      <c r="E13" t="s">
        <v>118</v>
      </c>
      <c r="F13" t="s">
        <v>44</v>
      </c>
      <c r="G13" t="s">
        <v>173</v>
      </c>
      <c r="H13" t="s">
        <v>43</v>
      </c>
      <c r="I13">
        <v>216</v>
      </c>
      <c r="J13">
        <v>2.3344537509999999</v>
      </c>
      <c r="K13">
        <v>183067</v>
      </c>
      <c r="L13">
        <v>5.2626100649999996</v>
      </c>
      <c r="M13">
        <v>4.934177</v>
      </c>
      <c r="N13">
        <v>0.32843333699999999</v>
      </c>
      <c r="O13">
        <v>9.1</v>
      </c>
      <c r="P13">
        <v>0.95904139200000005</v>
      </c>
      <c r="Q13">
        <v>1.061766</v>
      </c>
      <c r="R13">
        <v>-0.10272478</v>
      </c>
      <c r="S13" t="s">
        <v>44</v>
      </c>
      <c r="T13">
        <v>1.4072169999999999</v>
      </c>
      <c r="U13">
        <v>1.4072169999999999</v>
      </c>
      <c r="V13">
        <v>0</v>
      </c>
      <c r="W13">
        <v>23</v>
      </c>
      <c r="X13">
        <v>1.361727836</v>
      </c>
      <c r="Y13">
        <v>1.3962639999999999</v>
      </c>
      <c r="Z13">
        <v>-3.4536079999999997E-2</v>
      </c>
      <c r="AA13">
        <v>100</v>
      </c>
      <c r="AB13">
        <v>2</v>
      </c>
      <c r="AC13">
        <v>7.1077091999999994E-2</v>
      </c>
      <c r="AD13">
        <v>1.9289229999999999</v>
      </c>
      <c r="AE13">
        <v>5</v>
      </c>
      <c r="AF13">
        <v>0.69897000399999998</v>
      </c>
      <c r="AG13">
        <v>0.84082100000000004</v>
      </c>
      <c r="AH13">
        <v>-0.14185097799999999</v>
      </c>
      <c r="AI13">
        <v>3.627365857</v>
      </c>
      <c r="AJ13">
        <v>4240</v>
      </c>
      <c r="AK13">
        <v>1.0999999999999999E-2</v>
      </c>
      <c r="AL13">
        <v>-2.1</v>
      </c>
      <c r="AM13">
        <v>2.1</v>
      </c>
    </row>
    <row r="14" spans="1:39" x14ac:dyDescent="0.35">
      <c r="A14" t="s">
        <v>38</v>
      </c>
      <c r="B14" t="s">
        <v>39</v>
      </c>
      <c r="C14" t="s">
        <v>64</v>
      </c>
      <c r="D14" s="7" t="s">
        <v>185</v>
      </c>
      <c r="E14" t="s">
        <v>65</v>
      </c>
      <c r="F14" t="s">
        <v>66</v>
      </c>
      <c r="G14" t="s">
        <v>172</v>
      </c>
      <c r="H14" t="s">
        <v>43</v>
      </c>
      <c r="I14">
        <v>270</v>
      </c>
      <c r="J14">
        <v>2.4313637639999999</v>
      </c>
      <c r="K14">
        <v>164000</v>
      </c>
      <c r="L14">
        <v>5.2148438480000001</v>
      </c>
      <c r="M14">
        <v>5.1990319999999999</v>
      </c>
      <c r="N14">
        <v>1.5811404000000001E-2</v>
      </c>
      <c r="O14">
        <v>12</v>
      </c>
      <c r="P14">
        <v>1.0791812460000001</v>
      </c>
      <c r="Q14">
        <v>1.0660339999999999</v>
      </c>
      <c r="R14">
        <v>1.3146889E-2</v>
      </c>
      <c r="S14">
        <v>24</v>
      </c>
      <c r="T14">
        <v>1.3802112419999999</v>
      </c>
      <c r="U14">
        <v>1.4369590000000001</v>
      </c>
      <c r="V14">
        <v>-5.6747489999999998E-2</v>
      </c>
      <c r="W14">
        <v>17.5</v>
      </c>
      <c r="X14">
        <v>1.2430380489999999</v>
      </c>
      <c r="Y14">
        <v>1.4562299999999999</v>
      </c>
      <c r="Z14">
        <v>-0.21319189999999999</v>
      </c>
      <c r="AA14">
        <v>100</v>
      </c>
      <c r="AB14">
        <v>2</v>
      </c>
      <c r="AC14">
        <v>-5.7384330000000002E-3</v>
      </c>
      <c r="AD14">
        <v>2.005738</v>
      </c>
      <c r="AE14">
        <v>7</v>
      </c>
      <c r="AF14">
        <v>0.84509803999999999</v>
      </c>
      <c r="AG14">
        <v>0.85774329999999999</v>
      </c>
      <c r="AH14">
        <v>-1.2645279000000001E-2</v>
      </c>
      <c r="AI14">
        <v>3.6201360550000001</v>
      </c>
      <c r="AJ14">
        <v>4170</v>
      </c>
      <c r="AK14">
        <v>1.6199999999999999E-2</v>
      </c>
      <c r="AL14">
        <v>-0.127</v>
      </c>
      <c r="AM14">
        <v>0.1</v>
      </c>
    </row>
    <row r="15" spans="1:39" x14ac:dyDescent="0.35">
      <c r="A15" t="s">
        <v>38</v>
      </c>
      <c r="B15" t="s">
        <v>39</v>
      </c>
      <c r="C15" t="s">
        <v>67</v>
      </c>
      <c r="D15" s="7" t="s">
        <v>186</v>
      </c>
      <c r="E15" t="s">
        <v>68</v>
      </c>
      <c r="F15" t="s">
        <v>69</v>
      </c>
      <c r="G15" t="s">
        <v>173</v>
      </c>
      <c r="H15" t="s">
        <v>43</v>
      </c>
      <c r="I15">
        <v>270</v>
      </c>
      <c r="J15">
        <v>2.4313637639999999</v>
      </c>
      <c r="K15">
        <v>182000</v>
      </c>
      <c r="L15">
        <v>5.2600713880000001</v>
      </c>
      <c r="M15">
        <v>5.1990319999999999</v>
      </c>
      <c r="N15">
        <v>6.1038943999999998E-2</v>
      </c>
      <c r="O15">
        <v>10.5</v>
      </c>
      <c r="P15">
        <v>1.021189299</v>
      </c>
      <c r="Q15">
        <v>1.0660339999999999</v>
      </c>
      <c r="R15">
        <v>-4.4845058E-2</v>
      </c>
      <c r="S15">
        <v>12</v>
      </c>
      <c r="T15">
        <v>1.0791812460000001</v>
      </c>
      <c r="U15">
        <v>1.4369590000000001</v>
      </c>
      <c r="V15">
        <v>-0.35777747999999998</v>
      </c>
      <c r="W15">
        <v>27</v>
      </c>
      <c r="X15">
        <v>1.4313637640000001</v>
      </c>
      <c r="Y15">
        <v>1.4562299999999999</v>
      </c>
      <c r="Z15">
        <v>-2.486619E-2</v>
      </c>
      <c r="AA15">
        <v>120</v>
      </c>
      <c r="AB15">
        <v>2.0791812460000001</v>
      </c>
      <c r="AC15">
        <v>7.3442812999999996E-2</v>
      </c>
      <c r="AD15">
        <v>2.005738</v>
      </c>
      <c r="AE15">
        <v>9</v>
      </c>
      <c r="AF15">
        <v>0.95424250899999996</v>
      </c>
      <c r="AG15">
        <v>0.85774329999999999</v>
      </c>
      <c r="AH15">
        <v>9.6499190999999998E-2</v>
      </c>
      <c r="AI15">
        <v>3.322219295</v>
      </c>
      <c r="AJ15">
        <v>2100</v>
      </c>
      <c r="AK15">
        <v>0.33300000000000002</v>
      </c>
      <c r="AL15">
        <v>59.3</v>
      </c>
      <c r="AM15">
        <v>59.3</v>
      </c>
    </row>
    <row r="16" spans="1:39" x14ac:dyDescent="0.35">
      <c r="A16" t="s">
        <v>38</v>
      </c>
      <c r="B16" t="s">
        <v>39</v>
      </c>
      <c r="C16" t="s">
        <v>70</v>
      </c>
      <c r="D16" s="8">
        <v>165166167168</v>
      </c>
      <c r="E16" t="s">
        <v>71</v>
      </c>
      <c r="F16" t="s">
        <v>44</v>
      </c>
      <c r="G16" t="s">
        <v>172</v>
      </c>
      <c r="H16" t="s">
        <v>43</v>
      </c>
      <c r="I16">
        <v>305</v>
      </c>
      <c r="J16">
        <v>2.4842998390000002</v>
      </c>
      <c r="K16" s="1">
        <v>180000</v>
      </c>
      <c r="L16">
        <v>5.2552725049999998</v>
      </c>
      <c r="M16">
        <v>5.3437070000000002</v>
      </c>
      <c r="N16">
        <v>-8.8434586999999995E-2</v>
      </c>
      <c r="O16">
        <v>12</v>
      </c>
      <c r="P16">
        <v>1.0791812460000001</v>
      </c>
      <c r="Q16">
        <v>1.0683659999999999</v>
      </c>
      <c r="R16">
        <v>1.0815438E-2</v>
      </c>
      <c r="S16" t="s">
        <v>44</v>
      </c>
      <c r="T16">
        <v>1.457838</v>
      </c>
      <c r="U16">
        <v>1.457838</v>
      </c>
      <c r="V16">
        <v>0</v>
      </c>
      <c r="W16" t="s">
        <v>44</v>
      </c>
      <c r="X16">
        <v>1.4943820000000001</v>
      </c>
      <c r="Y16">
        <v>1.4943820000000001</v>
      </c>
      <c r="Z16">
        <v>0</v>
      </c>
      <c r="AA16">
        <v>115</v>
      </c>
      <c r="AB16">
        <v>2.06069784</v>
      </c>
      <c r="AC16">
        <v>1.2999736E-2</v>
      </c>
      <c r="AD16">
        <v>2.047698</v>
      </c>
      <c r="AE16">
        <v>8</v>
      </c>
      <c r="AF16">
        <v>0.90308998699999998</v>
      </c>
      <c r="AG16">
        <v>0.86698699999999995</v>
      </c>
      <c r="AH16">
        <v>3.610302E-2</v>
      </c>
      <c r="AI16">
        <v>3.2764618040000002</v>
      </c>
      <c r="AJ16">
        <v>1890</v>
      </c>
      <c r="AK16">
        <v>1.02</v>
      </c>
      <c r="AL16">
        <v>62.6</v>
      </c>
      <c r="AM16">
        <v>62.6</v>
      </c>
    </row>
    <row r="17" spans="1:39" x14ac:dyDescent="0.35">
      <c r="A17" t="s">
        <v>38</v>
      </c>
      <c r="B17" t="s">
        <v>39</v>
      </c>
      <c r="C17" t="s">
        <v>72</v>
      </c>
      <c r="D17" s="7" t="s">
        <v>187</v>
      </c>
      <c r="E17" t="s">
        <v>73</v>
      </c>
      <c r="F17" t="s">
        <v>74</v>
      </c>
      <c r="G17" t="s">
        <v>174</v>
      </c>
      <c r="H17" t="s">
        <v>43</v>
      </c>
      <c r="I17">
        <v>250</v>
      </c>
      <c r="J17">
        <v>2.397940009</v>
      </c>
      <c r="K17">
        <v>120000</v>
      </c>
      <c r="L17">
        <v>5.0791812460000001</v>
      </c>
      <c r="M17">
        <v>5.107685</v>
      </c>
      <c r="N17">
        <v>-2.8503851E-2</v>
      </c>
      <c r="O17">
        <v>12</v>
      </c>
      <c r="P17">
        <v>1.0791812460000001</v>
      </c>
      <c r="Q17">
        <v>1.064562</v>
      </c>
      <c r="R17">
        <v>1.4618964E-2</v>
      </c>
      <c r="S17" t="s">
        <v>44</v>
      </c>
      <c r="T17">
        <v>1.4286639999999999</v>
      </c>
      <c r="U17">
        <v>1.4286639999999999</v>
      </c>
      <c r="V17">
        <v>0</v>
      </c>
      <c r="W17">
        <v>46</v>
      </c>
      <c r="X17">
        <v>1.662757832</v>
      </c>
      <c r="Y17">
        <v>1.435548</v>
      </c>
      <c r="Z17">
        <v>0.22720984999999999</v>
      </c>
      <c r="AA17">
        <v>102.5</v>
      </c>
      <c r="AB17">
        <v>2.0107238650000001</v>
      </c>
      <c r="AC17">
        <v>3.1478704000000003E-2</v>
      </c>
      <c r="AD17">
        <v>1.9792449999999999</v>
      </c>
      <c r="AE17">
        <v>7.5</v>
      </c>
      <c r="AF17">
        <v>0.87506126299999998</v>
      </c>
      <c r="AG17">
        <v>0.85190690000000002</v>
      </c>
      <c r="AH17">
        <v>2.3154370000000001E-2</v>
      </c>
      <c r="AI17">
        <v>3.618048097</v>
      </c>
      <c r="AJ17">
        <v>4150</v>
      </c>
      <c r="AK17">
        <v>4.4400000000000002E-2</v>
      </c>
      <c r="AL17">
        <v>44.9</v>
      </c>
      <c r="AM17">
        <v>44.9</v>
      </c>
    </row>
    <row r="18" spans="1:39" x14ac:dyDescent="0.35">
      <c r="A18" t="s">
        <v>38</v>
      </c>
      <c r="B18" t="s">
        <v>39</v>
      </c>
      <c r="C18" t="s">
        <v>75</v>
      </c>
      <c r="D18" s="8">
        <v>57130155156</v>
      </c>
      <c r="E18" t="s">
        <v>76</v>
      </c>
      <c r="F18" t="s">
        <v>77</v>
      </c>
      <c r="G18" t="s">
        <v>172</v>
      </c>
      <c r="H18" t="s">
        <v>57</v>
      </c>
      <c r="I18">
        <v>211</v>
      </c>
      <c r="J18">
        <v>2.3242824550000001</v>
      </c>
      <c r="K18">
        <v>127500</v>
      </c>
      <c r="L18">
        <v>5.105510185</v>
      </c>
      <c r="M18">
        <v>4.9063790000000003</v>
      </c>
      <c r="N18">
        <v>0.19913167800000001</v>
      </c>
      <c r="O18">
        <v>13</v>
      </c>
      <c r="P18">
        <v>1.1139433519999999</v>
      </c>
      <c r="Q18">
        <v>1.061318</v>
      </c>
      <c r="R18">
        <v>5.2625152000000001E-2</v>
      </c>
      <c r="S18">
        <v>28.6</v>
      </c>
      <c r="T18">
        <v>1.4563660329999999</v>
      </c>
      <c r="U18">
        <v>1.4298759999999999</v>
      </c>
      <c r="V18">
        <v>2.6490150000000001E-2</v>
      </c>
      <c r="W18" t="s">
        <v>44</v>
      </c>
      <c r="X18">
        <v>1.3836250000000001</v>
      </c>
      <c r="Y18">
        <v>1.3836250000000001</v>
      </c>
      <c r="Z18">
        <v>0</v>
      </c>
      <c r="AA18">
        <v>70</v>
      </c>
      <c r="AB18">
        <v>1.8450980400000001</v>
      </c>
      <c r="AC18">
        <v>-7.5762611999999993E-2</v>
      </c>
      <c r="AD18">
        <v>1.9208609999999999</v>
      </c>
      <c r="AE18">
        <v>4.5</v>
      </c>
      <c r="AF18">
        <v>0.65321251400000002</v>
      </c>
      <c r="AG18">
        <v>0.83904489999999998</v>
      </c>
      <c r="AH18">
        <v>-0.185832366</v>
      </c>
      <c r="AI18">
        <v>2.4199557500000002</v>
      </c>
      <c r="AJ18">
        <v>263</v>
      </c>
      <c r="AK18">
        <v>0.01</v>
      </c>
      <c r="AL18">
        <v>-39.200000000000003</v>
      </c>
      <c r="AM18">
        <v>39.200000000000003</v>
      </c>
    </row>
    <row r="19" spans="1:39" x14ac:dyDescent="0.35">
      <c r="A19" t="s">
        <v>38</v>
      </c>
      <c r="B19" t="s">
        <v>149</v>
      </c>
      <c r="C19" t="s">
        <v>166</v>
      </c>
      <c r="D19" s="8">
        <v>165166167168</v>
      </c>
      <c r="E19" t="s">
        <v>167</v>
      </c>
      <c r="F19" t="s">
        <v>44</v>
      </c>
      <c r="G19" t="s">
        <v>173</v>
      </c>
      <c r="H19" t="s">
        <v>43</v>
      </c>
      <c r="I19">
        <v>503</v>
      </c>
      <c r="J19">
        <v>2.7015679850000001</v>
      </c>
      <c r="K19">
        <v>3400000</v>
      </c>
      <c r="L19">
        <v>6.5314789170000003</v>
      </c>
      <c r="M19">
        <v>5.9375020000000003</v>
      </c>
      <c r="N19">
        <v>0.59397652300000003</v>
      </c>
      <c r="O19">
        <v>12</v>
      </c>
      <c r="P19">
        <v>1.0791812460000001</v>
      </c>
      <c r="Q19">
        <v>1.0779350000000001</v>
      </c>
      <c r="R19">
        <v>1.246348E-3</v>
      </c>
      <c r="S19" t="s">
        <v>44</v>
      </c>
      <c r="T19">
        <v>1.531236</v>
      </c>
      <c r="U19">
        <v>1.531236</v>
      </c>
      <c r="V19">
        <v>0</v>
      </c>
      <c r="W19" t="s">
        <v>44</v>
      </c>
      <c r="X19">
        <v>1.644766</v>
      </c>
      <c r="Y19">
        <v>1.644766</v>
      </c>
      <c r="Z19">
        <v>0</v>
      </c>
      <c r="AA19" t="s">
        <v>44</v>
      </c>
      <c r="AB19">
        <v>2.2158000000000002</v>
      </c>
      <c r="AC19">
        <v>0</v>
      </c>
      <c r="AD19">
        <v>2.2158000000000002</v>
      </c>
      <c r="AE19" t="s">
        <v>44</v>
      </c>
      <c r="AF19">
        <v>0.94119529999999996</v>
      </c>
      <c r="AG19">
        <v>0.94119529999999996</v>
      </c>
      <c r="AH19">
        <v>0</v>
      </c>
      <c r="AI19">
        <v>3.482873584</v>
      </c>
      <c r="AJ19">
        <v>3040</v>
      </c>
      <c r="AK19">
        <v>4.3299999999999998E-2</v>
      </c>
      <c r="AL19">
        <v>48.8</v>
      </c>
      <c r="AM19">
        <v>48.8</v>
      </c>
    </row>
    <row r="20" spans="1:39" x14ac:dyDescent="0.35">
      <c r="A20" t="s">
        <v>38</v>
      </c>
      <c r="B20" t="s">
        <v>149</v>
      </c>
      <c r="C20" t="s">
        <v>156</v>
      </c>
      <c r="D20" s="8">
        <v>165166167168</v>
      </c>
      <c r="E20" t="s">
        <v>157</v>
      </c>
      <c r="F20" t="s">
        <v>44</v>
      </c>
      <c r="G20" t="s">
        <v>173</v>
      </c>
      <c r="H20" t="s">
        <v>43</v>
      </c>
      <c r="I20">
        <v>540</v>
      </c>
      <c r="J20">
        <v>2.7323937599999999</v>
      </c>
      <c r="K20">
        <v>3400000</v>
      </c>
      <c r="L20">
        <v>6.5314789170000003</v>
      </c>
      <c r="M20">
        <v>6.0217489999999998</v>
      </c>
      <c r="N20">
        <v>0.50972947300000004</v>
      </c>
      <c r="O20">
        <v>12</v>
      </c>
      <c r="P20">
        <v>1.0791812460000001</v>
      </c>
      <c r="Q20">
        <v>1.0792930000000001</v>
      </c>
      <c r="R20">
        <v>-1.1130500000000001E-4</v>
      </c>
      <c r="S20" t="s">
        <v>44</v>
      </c>
      <c r="T20">
        <v>1.54165</v>
      </c>
      <c r="U20">
        <v>1.54165</v>
      </c>
      <c r="V20">
        <v>0</v>
      </c>
      <c r="W20" t="s">
        <v>44</v>
      </c>
      <c r="X20">
        <v>1.666102</v>
      </c>
      <c r="Y20">
        <v>1.666102</v>
      </c>
      <c r="Z20">
        <v>0</v>
      </c>
      <c r="AA20">
        <v>249</v>
      </c>
      <c r="AB20">
        <v>2.396199347</v>
      </c>
      <c r="AC20">
        <v>0.15185010199999999</v>
      </c>
      <c r="AD20">
        <v>2.2443490000000001</v>
      </c>
      <c r="AE20" t="s">
        <v>44</v>
      </c>
      <c r="AF20">
        <v>0.95040780000000002</v>
      </c>
      <c r="AG20">
        <v>0.95040780000000002</v>
      </c>
      <c r="AH20">
        <v>0</v>
      </c>
      <c r="AI20">
        <v>3.704150517</v>
      </c>
      <c r="AJ20">
        <v>5060</v>
      </c>
      <c r="AK20">
        <v>0.01</v>
      </c>
      <c r="AL20">
        <v>37.1</v>
      </c>
      <c r="AM20">
        <v>37.1</v>
      </c>
    </row>
    <row r="21" spans="1:39" x14ac:dyDescent="0.35">
      <c r="A21" t="s">
        <v>38</v>
      </c>
      <c r="B21" t="s">
        <v>149</v>
      </c>
      <c r="C21" t="s">
        <v>160</v>
      </c>
      <c r="D21" s="8">
        <v>91123124130</v>
      </c>
      <c r="E21" t="s">
        <v>161</v>
      </c>
      <c r="F21" t="s">
        <v>162</v>
      </c>
      <c r="G21" t="s">
        <v>173</v>
      </c>
      <c r="H21" t="s">
        <v>43</v>
      </c>
      <c r="I21">
        <v>473</v>
      </c>
      <c r="J21">
        <v>2.6748611410000001</v>
      </c>
      <c r="K21">
        <v>2300000</v>
      </c>
      <c r="L21">
        <v>6.361727836</v>
      </c>
      <c r="M21">
        <v>5.8645120000000004</v>
      </c>
      <c r="N21">
        <v>0.49721542600000002</v>
      </c>
      <c r="O21" t="s">
        <v>44</v>
      </c>
      <c r="P21">
        <v>1.1057619999999999</v>
      </c>
      <c r="Q21">
        <v>1.1057619999999999</v>
      </c>
      <c r="R21">
        <v>0</v>
      </c>
      <c r="S21" t="s">
        <v>44</v>
      </c>
      <c r="T21">
        <v>1.522214</v>
      </c>
      <c r="U21">
        <v>1.522214</v>
      </c>
      <c r="V21">
        <v>0</v>
      </c>
      <c r="W21">
        <v>27</v>
      </c>
      <c r="X21">
        <v>1.4313637640000001</v>
      </c>
      <c r="Y21">
        <v>1.6069009999999999</v>
      </c>
      <c r="Z21">
        <v>-0.17553762000000001</v>
      </c>
      <c r="AA21">
        <v>190</v>
      </c>
      <c r="AB21">
        <v>2.278753601</v>
      </c>
      <c r="AC21">
        <v>8.0007468999999998E-2</v>
      </c>
      <c r="AD21">
        <v>2.1987459999999999</v>
      </c>
      <c r="AE21">
        <v>9</v>
      </c>
      <c r="AF21">
        <v>0.95424250899999996</v>
      </c>
      <c r="AG21">
        <v>0.90026260000000002</v>
      </c>
      <c r="AH21">
        <v>5.3979904000000002E-2</v>
      </c>
      <c r="AI21">
        <v>3.624282096</v>
      </c>
      <c r="AJ21">
        <v>4210</v>
      </c>
      <c r="AK21">
        <v>1.2500000000000001E-2</v>
      </c>
      <c r="AL21">
        <v>0.54300000000000004</v>
      </c>
      <c r="AM21">
        <v>0.5</v>
      </c>
    </row>
    <row r="22" spans="1:39" x14ac:dyDescent="0.35">
      <c r="A22" t="s">
        <v>38</v>
      </c>
      <c r="B22" t="s">
        <v>149</v>
      </c>
      <c r="C22" t="s">
        <v>158</v>
      </c>
      <c r="D22" s="8">
        <v>165166167168</v>
      </c>
      <c r="E22" t="s">
        <v>159</v>
      </c>
      <c r="F22" t="s">
        <v>44</v>
      </c>
      <c r="G22" t="s">
        <v>173</v>
      </c>
      <c r="H22" t="s">
        <v>43</v>
      </c>
      <c r="I22">
        <v>671</v>
      </c>
      <c r="J22">
        <v>2.8267225200000001</v>
      </c>
      <c r="K22">
        <v>5600000</v>
      </c>
      <c r="L22">
        <v>6.7481880270000003</v>
      </c>
      <c r="M22">
        <v>6.2795509999999997</v>
      </c>
      <c r="N22">
        <v>0.46863744800000001</v>
      </c>
      <c r="O22" t="s">
        <v>44</v>
      </c>
      <c r="P22">
        <v>1.1304339999999999</v>
      </c>
      <c r="Q22">
        <v>1.1304339999999999</v>
      </c>
      <c r="R22">
        <v>0</v>
      </c>
      <c r="S22" t="s">
        <v>44</v>
      </c>
      <c r="T22">
        <v>1.5735159999999999</v>
      </c>
      <c r="U22">
        <v>1.5735159999999999</v>
      </c>
      <c r="V22">
        <v>0</v>
      </c>
      <c r="W22">
        <v>48</v>
      </c>
      <c r="X22">
        <v>1.6812412370000001</v>
      </c>
      <c r="Y22">
        <v>1.7008700000000001</v>
      </c>
      <c r="Z22">
        <v>-1.962902E-2</v>
      </c>
      <c r="AA22">
        <v>210</v>
      </c>
      <c r="AB22">
        <v>2.322219295</v>
      </c>
      <c r="AC22">
        <v>3.1005500000000001E-3</v>
      </c>
      <c r="AD22">
        <v>2.3191190000000002</v>
      </c>
      <c r="AE22" t="s">
        <v>44</v>
      </c>
      <c r="AF22">
        <v>0.97859859999999999</v>
      </c>
      <c r="AG22">
        <v>0.97859859999999999</v>
      </c>
      <c r="AH22">
        <v>0</v>
      </c>
      <c r="AI22">
        <v>3.6294095990000002</v>
      </c>
      <c r="AJ22">
        <v>4260</v>
      </c>
      <c r="AK22">
        <v>0.01</v>
      </c>
      <c r="AL22">
        <v>15</v>
      </c>
      <c r="AM22">
        <v>15</v>
      </c>
    </row>
    <row r="23" spans="1:39" x14ac:dyDescent="0.35">
      <c r="A23" t="s">
        <v>38</v>
      </c>
      <c r="B23" t="s">
        <v>119</v>
      </c>
      <c r="C23" t="s">
        <v>123</v>
      </c>
      <c r="D23" s="7" t="s">
        <v>188</v>
      </c>
      <c r="E23" t="s">
        <v>124</v>
      </c>
      <c r="F23" t="s">
        <v>125</v>
      </c>
      <c r="G23" t="s">
        <v>174</v>
      </c>
      <c r="H23" t="s">
        <v>57</v>
      </c>
      <c r="I23">
        <v>470</v>
      </c>
      <c r="J23">
        <v>2.6720978579999999</v>
      </c>
      <c r="K23">
        <v>900000</v>
      </c>
      <c r="L23">
        <v>5.9542425090000002</v>
      </c>
      <c r="M23">
        <v>5.8569599999999999</v>
      </c>
      <c r="N23">
        <v>9.7282170000000001E-2</v>
      </c>
      <c r="O23">
        <v>15.3</v>
      </c>
      <c r="P23">
        <v>1.1846914310000001</v>
      </c>
      <c r="Q23">
        <v>1.0766370000000001</v>
      </c>
      <c r="R23">
        <v>0.10805447899999999</v>
      </c>
      <c r="S23">
        <v>36</v>
      </c>
      <c r="T23">
        <v>1.556302501</v>
      </c>
      <c r="U23">
        <v>1.452882</v>
      </c>
      <c r="V23">
        <v>0.10342053</v>
      </c>
      <c r="W23">
        <v>115</v>
      </c>
      <c r="X23">
        <v>2.06069784</v>
      </c>
      <c r="Y23">
        <v>1.605192</v>
      </c>
      <c r="Z23">
        <v>0.45550632000000002</v>
      </c>
      <c r="AA23">
        <v>160</v>
      </c>
      <c r="AB23">
        <v>2.204119983</v>
      </c>
      <c r="AC23">
        <v>7.5641609999999998E-3</v>
      </c>
      <c r="AD23">
        <v>2.1965560000000002</v>
      </c>
      <c r="AE23">
        <v>6.5</v>
      </c>
      <c r="AF23">
        <v>0.812913357</v>
      </c>
      <c r="AG23">
        <v>0.89978009999999997</v>
      </c>
      <c r="AH23">
        <v>-8.6866727000000005E-2</v>
      </c>
      <c r="AI23">
        <v>3.225309282</v>
      </c>
      <c r="AJ23">
        <v>1680</v>
      </c>
      <c r="AK23">
        <v>10.6</v>
      </c>
      <c r="AL23">
        <v>77.8</v>
      </c>
      <c r="AM23">
        <v>77.8</v>
      </c>
    </row>
    <row r="24" spans="1:39" x14ac:dyDescent="0.35">
      <c r="A24" t="s">
        <v>38</v>
      </c>
      <c r="B24" t="s">
        <v>126</v>
      </c>
      <c r="C24" t="s">
        <v>127</v>
      </c>
      <c r="D24" s="7" t="s">
        <v>189</v>
      </c>
      <c r="E24" t="s">
        <v>128</v>
      </c>
      <c r="F24" t="s">
        <v>129</v>
      </c>
      <c r="G24" t="s">
        <v>172</v>
      </c>
      <c r="H24" t="s">
        <v>43</v>
      </c>
      <c r="I24">
        <v>206</v>
      </c>
      <c r="J24">
        <v>2.3138672200000001</v>
      </c>
      <c r="K24">
        <v>32500</v>
      </c>
      <c r="L24">
        <v>4.5118833609999998</v>
      </c>
      <c r="M24">
        <v>4.8779139999999996</v>
      </c>
      <c r="N24">
        <v>-0.36603023899999998</v>
      </c>
      <c r="O24">
        <v>11</v>
      </c>
      <c r="P24">
        <v>1.0413926849999999</v>
      </c>
      <c r="Q24">
        <v>1.060859</v>
      </c>
      <c r="R24">
        <v>-1.9466799E-2</v>
      </c>
      <c r="S24">
        <v>24</v>
      </c>
      <c r="T24">
        <v>1.3802112419999999</v>
      </c>
      <c r="U24">
        <v>1.429187</v>
      </c>
      <c r="V24">
        <v>-4.8975730000000002E-2</v>
      </c>
      <c r="W24">
        <v>34</v>
      </c>
      <c r="X24">
        <v>1.5314789170000001</v>
      </c>
      <c r="Y24">
        <v>1.3835249999999999</v>
      </c>
      <c r="Z24">
        <v>0.14795353999999999</v>
      </c>
      <c r="AA24">
        <v>77</v>
      </c>
      <c r="AB24">
        <v>1.886490725</v>
      </c>
      <c r="AC24">
        <v>-2.6114312000000001E-2</v>
      </c>
      <c r="AD24">
        <v>1.9126050000000001</v>
      </c>
      <c r="AE24">
        <v>7</v>
      </c>
      <c r="AF24">
        <v>0.84509803999999999</v>
      </c>
      <c r="AG24">
        <v>0.83722620000000003</v>
      </c>
      <c r="AH24">
        <v>7.8718590000000001E-3</v>
      </c>
      <c r="AI24">
        <v>2.7126497020000002</v>
      </c>
      <c r="AJ24">
        <v>516</v>
      </c>
      <c r="AK24">
        <v>0.01</v>
      </c>
      <c r="AL24">
        <v>20.3</v>
      </c>
      <c r="AM24">
        <v>20.3</v>
      </c>
    </row>
    <row r="25" spans="1:39" x14ac:dyDescent="0.35">
      <c r="A25" t="s">
        <v>38</v>
      </c>
      <c r="B25" t="s">
        <v>39</v>
      </c>
      <c r="C25" t="s">
        <v>78</v>
      </c>
      <c r="D25" s="7" t="s">
        <v>190</v>
      </c>
      <c r="E25" t="s">
        <v>79</v>
      </c>
      <c r="F25" t="s">
        <v>80</v>
      </c>
      <c r="G25" t="s">
        <v>172</v>
      </c>
      <c r="H25" t="s">
        <v>57</v>
      </c>
      <c r="I25">
        <v>275</v>
      </c>
      <c r="J25">
        <v>2.439332694</v>
      </c>
      <c r="K25">
        <v>190000</v>
      </c>
      <c r="L25">
        <v>5.278753601</v>
      </c>
      <c r="M25">
        <v>5.2208119999999996</v>
      </c>
      <c r="N25">
        <v>5.7942017999999998E-2</v>
      </c>
      <c r="O25">
        <v>14</v>
      </c>
      <c r="P25">
        <v>1.1461280359999999</v>
      </c>
      <c r="Q25">
        <v>1.0663849999999999</v>
      </c>
      <c r="R25">
        <v>7.9742704999999997E-2</v>
      </c>
      <c r="S25" t="s">
        <v>44</v>
      </c>
      <c r="T25">
        <v>1.442647</v>
      </c>
      <c r="U25">
        <v>1.442647</v>
      </c>
      <c r="V25">
        <v>0</v>
      </c>
      <c r="W25">
        <v>30</v>
      </c>
      <c r="X25">
        <v>1.4771212549999999</v>
      </c>
      <c r="Y25">
        <v>1.4611609999999999</v>
      </c>
      <c r="Z25">
        <v>1.5960289999999999E-2</v>
      </c>
      <c r="AA25">
        <v>100</v>
      </c>
      <c r="AB25">
        <v>2</v>
      </c>
      <c r="AC25">
        <v>-1.2054989E-2</v>
      </c>
      <c r="AD25">
        <v>2.0120550000000001</v>
      </c>
      <c r="AE25">
        <v>5</v>
      </c>
      <c r="AF25">
        <v>0.69897000399999998</v>
      </c>
      <c r="AG25">
        <v>0.85913479999999998</v>
      </c>
      <c r="AH25">
        <v>-0.160164842</v>
      </c>
      <c r="AI25">
        <v>2.7909884749999998</v>
      </c>
      <c r="AJ25">
        <v>618</v>
      </c>
      <c r="AK25">
        <v>0.94899999999999995</v>
      </c>
      <c r="AL25">
        <v>0.90200000000000002</v>
      </c>
      <c r="AM25">
        <v>0.9</v>
      </c>
    </row>
    <row r="26" spans="1:39" x14ac:dyDescent="0.35">
      <c r="A26" t="s">
        <v>38</v>
      </c>
      <c r="B26" t="s">
        <v>39</v>
      </c>
      <c r="C26" t="s">
        <v>81</v>
      </c>
      <c r="D26" s="7" t="s">
        <v>191</v>
      </c>
      <c r="E26" t="s">
        <v>82</v>
      </c>
      <c r="F26" t="s">
        <v>83</v>
      </c>
      <c r="G26" t="s">
        <v>174</v>
      </c>
      <c r="H26" t="s">
        <v>57</v>
      </c>
      <c r="I26">
        <v>980</v>
      </c>
      <c r="J26">
        <v>2.9912260759999998</v>
      </c>
      <c r="K26">
        <v>4300000</v>
      </c>
      <c r="L26">
        <v>6.6334684560000001</v>
      </c>
      <c r="M26">
        <v>6.7291400000000001</v>
      </c>
      <c r="N26">
        <v>-9.5671445999999993E-2</v>
      </c>
      <c r="O26">
        <v>16.5</v>
      </c>
      <c r="P26">
        <v>1.217483944</v>
      </c>
      <c r="Q26">
        <v>1.090692</v>
      </c>
      <c r="R26">
        <v>0.12679170300000001</v>
      </c>
      <c r="S26">
        <v>60</v>
      </c>
      <c r="T26">
        <v>1.7781512500000001</v>
      </c>
      <c r="U26">
        <v>1.4739910000000001</v>
      </c>
      <c r="V26">
        <v>0.30416069000000001</v>
      </c>
      <c r="W26">
        <v>90</v>
      </c>
      <c r="X26">
        <v>1.954242509</v>
      </c>
      <c r="Y26">
        <v>1.802662</v>
      </c>
      <c r="Z26">
        <v>0.15158065000000001</v>
      </c>
      <c r="AA26">
        <v>240</v>
      </c>
      <c r="AB26">
        <v>2.3802112420000001</v>
      </c>
      <c r="AC26">
        <v>-6.9300911000000007E-2</v>
      </c>
      <c r="AD26">
        <v>2.4495119999999999</v>
      </c>
      <c r="AE26">
        <v>15</v>
      </c>
      <c r="AF26">
        <v>1.1760912590000001</v>
      </c>
      <c r="AG26">
        <v>0.95550599999999997</v>
      </c>
      <c r="AH26">
        <v>0.22058530200000001</v>
      </c>
      <c r="AI26">
        <v>3.595496222</v>
      </c>
      <c r="AJ26">
        <v>3940</v>
      </c>
      <c r="AK26">
        <v>1.04</v>
      </c>
      <c r="AL26">
        <v>-11.6</v>
      </c>
      <c r="AM26">
        <v>11.6</v>
      </c>
    </row>
    <row r="27" spans="1:39" x14ac:dyDescent="0.35">
      <c r="A27" t="s">
        <v>38</v>
      </c>
      <c r="B27" t="s">
        <v>39</v>
      </c>
      <c r="C27" t="s">
        <v>84</v>
      </c>
      <c r="D27" s="7" t="s">
        <v>192</v>
      </c>
      <c r="E27" t="s">
        <v>85</v>
      </c>
      <c r="F27" t="s">
        <v>86</v>
      </c>
      <c r="G27" t="s">
        <v>174</v>
      </c>
      <c r="H27" t="s">
        <v>43</v>
      </c>
      <c r="I27">
        <v>280</v>
      </c>
      <c r="J27">
        <v>2.4471580309999998</v>
      </c>
      <c r="K27">
        <v>206000</v>
      </c>
      <c r="L27">
        <v>5.3138672199999997</v>
      </c>
      <c r="M27">
        <v>5.2421980000000001</v>
      </c>
      <c r="N27">
        <v>7.1668938000000001E-2</v>
      </c>
      <c r="O27">
        <v>12</v>
      </c>
      <c r="P27">
        <v>1.0791812460000001</v>
      </c>
      <c r="Q27">
        <v>1.06673</v>
      </c>
      <c r="R27">
        <v>1.2451266000000001E-2</v>
      </c>
      <c r="S27" t="s">
        <v>44</v>
      </c>
      <c r="T27">
        <v>1.4452910000000001</v>
      </c>
      <c r="U27">
        <v>1.4452910000000001</v>
      </c>
      <c r="V27">
        <v>0</v>
      </c>
      <c r="W27">
        <v>47</v>
      </c>
      <c r="X27">
        <v>1.6720978580000001</v>
      </c>
      <c r="Y27">
        <v>1.4660029999999999</v>
      </c>
      <c r="Z27">
        <v>0.20609472000000001</v>
      </c>
      <c r="AA27">
        <v>100</v>
      </c>
      <c r="AB27">
        <v>2</v>
      </c>
      <c r="AC27">
        <v>-1.8257727000000001E-2</v>
      </c>
      <c r="AD27">
        <v>2.0182579999999999</v>
      </c>
      <c r="AE27">
        <v>12</v>
      </c>
      <c r="AF27">
        <v>1.0791812460000001</v>
      </c>
      <c r="AG27">
        <v>0.86050130000000002</v>
      </c>
      <c r="AH27">
        <v>0.21867994700000001</v>
      </c>
      <c r="AI27">
        <v>3.624282096</v>
      </c>
      <c r="AJ27">
        <v>4210</v>
      </c>
      <c r="AK27">
        <v>1.55E-2</v>
      </c>
      <c r="AL27">
        <v>0.45500000000000002</v>
      </c>
      <c r="AM27">
        <v>0.5</v>
      </c>
    </row>
    <row r="28" spans="1:39" x14ac:dyDescent="0.35">
      <c r="A28" t="s">
        <v>38</v>
      </c>
      <c r="B28" t="s">
        <v>126</v>
      </c>
      <c r="C28" t="s">
        <v>130</v>
      </c>
      <c r="D28" s="8">
        <v>98130</v>
      </c>
      <c r="E28" t="s">
        <v>131</v>
      </c>
      <c r="F28" t="s">
        <v>132</v>
      </c>
      <c r="G28" t="s">
        <v>172</v>
      </c>
      <c r="H28" t="s">
        <v>43</v>
      </c>
      <c r="I28">
        <v>240</v>
      </c>
      <c r="J28">
        <v>2.3802112420000001</v>
      </c>
      <c r="K28">
        <v>65000</v>
      </c>
      <c r="L28">
        <v>4.8129133570000002</v>
      </c>
      <c r="M28">
        <v>5.0592319999999997</v>
      </c>
      <c r="N28">
        <v>-0.24631890100000001</v>
      </c>
      <c r="O28" t="s">
        <v>44</v>
      </c>
      <c r="P28">
        <v>1.0578939999999999</v>
      </c>
      <c r="Q28">
        <v>1.0578939999999999</v>
      </c>
      <c r="R28">
        <v>0</v>
      </c>
      <c r="S28" t="s">
        <v>44</v>
      </c>
      <c r="T28">
        <v>1.4226749999999999</v>
      </c>
      <c r="U28">
        <v>1.4226749999999999</v>
      </c>
      <c r="V28">
        <v>0</v>
      </c>
      <c r="W28">
        <v>16</v>
      </c>
      <c r="X28">
        <v>1.2041199</v>
      </c>
      <c r="Y28">
        <v>1.4245779999999999</v>
      </c>
      <c r="Z28">
        <v>-0.52148777999999996</v>
      </c>
      <c r="AA28">
        <v>94</v>
      </c>
      <c r="AB28">
        <v>1.9731278539999999</v>
      </c>
      <c r="AC28">
        <v>7.9353640000000003E-3</v>
      </c>
      <c r="AD28">
        <v>1.965192</v>
      </c>
      <c r="AE28">
        <v>3</v>
      </c>
      <c r="AF28">
        <v>0.47712125500000002</v>
      </c>
      <c r="AG28">
        <v>0.84881110000000004</v>
      </c>
      <c r="AH28">
        <v>-0.37168985799999998</v>
      </c>
      <c r="AI28">
        <v>3.4308809500000002</v>
      </c>
      <c r="AJ28">
        <v>2697</v>
      </c>
      <c r="AK28">
        <v>1.1000000000000001</v>
      </c>
      <c r="AL28">
        <v>-44.6</v>
      </c>
      <c r="AM28">
        <v>44.6</v>
      </c>
    </row>
    <row r="29" spans="1:39" x14ac:dyDescent="0.35">
      <c r="A29" t="s">
        <v>38</v>
      </c>
      <c r="B29" t="s">
        <v>126</v>
      </c>
      <c r="C29" t="s">
        <v>133</v>
      </c>
      <c r="D29" s="7" t="s">
        <v>193</v>
      </c>
      <c r="E29" t="s">
        <v>134</v>
      </c>
      <c r="F29" t="s">
        <v>135</v>
      </c>
      <c r="G29" t="s">
        <v>172</v>
      </c>
      <c r="H29" t="s">
        <v>43</v>
      </c>
      <c r="I29">
        <v>186</v>
      </c>
      <c r="J29">
        <v>2.2695129440000001</v>
      </c>
      <c r="K29">
        <v>52500</v>
      </c>
      <c r="L29">
        <v>4.720159303</v>
      </c>
      <c r="M29">
        <v>4.7566930000000003</v>
      </c>
      <c r="N29">
        <v>-3.6533762999999997E-2</v>
      </c>
      <c r="O29">
        <v>10.5</v>
      </c>
      <c r="P29">
        <v>1.021189299</v>
      </c>
      <c r="Q29">
        <v>1.0589059999999999</v>
      </c>
      <c r="R29">
        <v>-3.7716699999999999E-2</v>
      </c>
      <c r="S29">
        <v>12</v>
      </c>
      <c r="T29">
        <v>1.0791812460000001</v>
      </c>
      <c r="U29">
        <v>1.426253</v>
      </c>
      <c r="V29">
        <v>-0.34707192999999997</v>
      </c>
      <c r="W29">
        <v>20.399999999999999</v>
      </c>
      <c r="X29">
        <v>1.3096301669999999</v>
      </c>
      <c r="Y29">
        <v>1.35608</v>
      </c>
      <c r="Z29">
        <v>-4.644964E-2</v>
      </c>
      <c r="AA29">
        <v>70</v>
      </c>
      <c r="AB29">
        <v>1.8450980400000001</v>
      </c>
      <c r="AC29">
        <v>-3.2349669999999997E-2</v>
      </c>
      <c r="AD29">
        <v>1.877448</v>
      </c>
      <c r="AE29">
        <v>3.5</v>
      </c>
      <c r="AF29">
        <v>0.54406804399999997</v>
      </c>
      <c r="AG29">
        <v>0.82948109999999997</v>
      </c>
      <c r="AH29">
        <v>-0.28541303400000001</v>
      </c>
      <c r="AI29">
        <v>3.0043213739999999</v>
      </c>
      <c r="AJ29">
        <v>1010</v>
      </c>
      <c r="AK29">
        <v>1.91</v>
      </c>
      <c r="AL29">
        <v>61.8</v>
      </c>
      <c r="AM29">
        <v>61.8</v>
      </c>
    </row>
    <row r="30" spans="1:39" x14ac:dyDescent="0.35">
      <c r="A30" t="s">
        <v>38</v>
      </c>
      <c r="B30" t="s">
        <v>126</v>
      </c>
      <c r="C30" t="s">
        <v>136</v>
      </c>
      <c r="D30" s="7" t="s">
        <v>194</v>
      </c>
      <c r="E30" t="s">
        <v>137</v>
      </c>
      <c r="F30" t="s">
        <v>138</v>
      </c>
      <c r="G30" t="s">
        <v>173</v>
      </c>
      <c r="H30" t="s">
        <v>43</v>
      </c>
      <c r="I30">
        <v>144</v>
      </c>
      <c r="J30">
        <v>2.1583624920000002</v>
      </c>
      <c r="K30">
        <v>42500</v>
      </c>
      <c r="L30">
        <v>4.6283889299999998</v>
      </c>
      <c r="M30">
        <v>4.4529180000000004</v>
      </c>
      <c r="N30">
        <v>0.17547079600000001</v>
      </c>
      <c r="O30">
        <v>10.5</v>
      </c>
      <c r="P30">
        <v>1.021189299</v>
      </c>
      <c r="Q30">
        <v>1.054011</v>
      </c>
      <c r="R30">
        <v>-3.2821326999999997E-2</v>
      </c>
      <c r="S30" t="s">
        <v>44</v>
      </c>
      <c r="T30">
        <v>1.3477300000000001</v>
      </c>
      <c r="U30">
        <v>1.3477300000000001</v>
      </c>
      <c r="V30">
        <v>0</v>
      </c>
      <c r="W30">
        <v>21</v>
      </c>
      <c r="X30">
        <v>1.322219295</v>
      </c>
      <c r="Y30">
        <v>1.2873019999999999</v>
      </c>
      <c r="Z30">
        <v>3.4917219999999999E-2</v>
      </c>
      <c r="AA30">
        <v>74</v>
      </c>
      <c r="AB30">
        <v>1.8692317199999999</v>
      </c>
      <c r="AC30">
        <v>7.9887188999999997E-2</v>
      </c>
      <c r="AD30">
        <v>1.789345</v>
      </c>
      <c r="AE30" t="s">
        <v>44</v>
      </c>
      <c r="AF30">
        <v>0.7788543</v>
      </c>
      <c r="AG30">
        <v>0.7788543</v>
      </c>
      <c r="AH30">
        <v>0</v>
      </c>
      <c r="AI30">
        <v>1.9867717300000001</v>
      </c>
      <c r="AJ30">
        <v>97</v>
      </c>
      <c r="AK30">
        <v>0.01</v>
      </c>
      <c r="AL30">
        <v>30.4</v>
      </c>
      <c r="AM30">
        <v>30.4</v>
      </c>
    </row>
    <row r="31" spans="1:39" x14ac:dyDescent="0.35">
      <c r="A31" t="s">
        <v>38</v>
      </c>
      <c r="B31" t="s">
        <v>126</v>
      </c>
      <c r="C31" t="s">
        <v>139</v>
      </c>
      <c r="D31" s="9">
        <v>131</v>
      </c>
      <c r="E31" t="s">
        <v>140</v>
      </c>
      <c r="F31" t="s">
        <v>141</v>
      </c>
      <c r="G31" t="s">
        <v>172</v>
      </c>
      <c r="H31" t="s">
        <v>43</v>
      </c>
      <c r="I31">
        <v>200</v>
      </c>
      <c r="J31">
        <v>2.301029996</v>
      </c>
      <c r="K31">
        <v>60000</v>
      </c>
      <c r="L31">
        <v>4.7781512499999996</v>
      </c>
      <c r="M31">
        <v>4.8428290000000001</v>
      </c>
      <c r="N31">
        <v>-6.4678131E-2</v>
      </c>
      <c r="O31">
        <v>11.5</v>
      </c>
      <c r="P31">
        <v>1.06069784</v>
      </c>
      <c r="Q31">
        <v>1.0602940000000001</v>
      </c>
      <c r="R31">
        <v>4.0374299999999997E-4</v>
      </c>
      <c r="S31" t="s">
        <v>44</v>
      </c>
      <c r="T31">
        <v>1.395926</v>
      </c>
      <c r="U31">
        <v>1.395926</v>
      </c>
      <c r="V31">
        <v>0</v>
      </c>
      <c r="W31">
        <v>12</v>
      </c>
      <c r="X31">
        <v>1.0791809999999999</v>
      </c>
      <c r="Y31">
        <v>1.3755820000000001</v>
      </c>
      <c r="Z31">
        <v>-0.47249195999999999</v>
      </c>
      <c r="AA31">
        <v>86</v>
      </c>
      <c r="AB31">
        <v>1.9344984510000001</v>
      </c>
      <c r="AC31">
        <v>3.2068814000000001E-2</v>
      </c>
      <c r="AD31">
        <v>1.9024300000000001</v>
      </c>
      <c r="AE31" t="s">
        <v>44</v>
      </c>
      <c r="AF31">
        <v>0.82149150000000004</v>
      </c>
      <c r="AG31">
        <v>0.82149150000000004</v>
      </c>
      <c r="AH31">
        <v>0</v>
      </c>
      <c r="AI31">
        <v>2.8733206</v>
      </c>
      <c r="AJ31">
        <v>747</v>
      </c>
      <c r="AK31">
        <v>1.2</v>
      </c>
      <c r="AL31">
        <v>-37.9</v>
      </c>
      <c r="AM31">
        <v>37.9</v>
      </c>
    </row>
    <row r="32" spans="1:39" x14ac:dyDescent="0.35">
      <c r="A32" t="s">
        <v>38</v>
      </c>
      <c r="B32" t="s">
        <v>126</v>
      </c>
      <c r="C32" t="s">
        <v>142</v>
      </c>
      <c r="D32" s="7" t="s">
        <v>195</v>
      </c>
      <c r="E32" t="s">
        <v>143</v>
      </c>
      <c r="F32" t="s">
        <v>144</v>
      </c>
      <c r="G32" t="s">
        <v>172</v>
      </c>
      <c r="H32" t="s">
        <v>43</v>
      </c>
      <c r="I32">
        <v>239</v>
      </c>
      <c r="J32">
        <v>2.378397901</v>
      </c>
      <c r="K32">
        <v>102500</v>
      </c>
      <c r="L32">
        <v>5.0107238650000001</v>
      </c>
      <c r="M32">
        <v>5.0542759999999998</v>
      </c>
      <c r="N32">
        <v>-4.3552519999999997E-2</v>
      </c>
      <c r="O32">
        <v>11.4</v>
      </c>
      <c r="P32">
        <v>1.0569048510000001</v>
      </c>
      <c r="Q32">
        <v>1.0637019999999999</v>
      </c>
      <c r="R32">
        <v>-6.7967430000000001E-3</v>
      </c>
      <c r="S32">
        <v>30</v>
      </c>
      <c r="T32">
        <v>1.4771212549999999</v>
      </c>
      <c r="U32">
        <v>1.4334549999999999</v>
      </c>
      <c r="V32">
        <v>4.3665929999999999E-2</v>
      </c>
      <c r="W32">
        <v>22</v>
      </c>
      <c r="X32">
        <v>1.342422681</v>
      </c>
      <c r="Y32">
        <v>1.4234560000000001</v>
      </c>
      <c r="Z32">
        <v>-8.1033019999999997E-2</v>
      </c>
      <c r="AA32">
        <v>100</v>
      </c>
      <c r="AB32">
        <v>2</v>
      </c>
      <c r="AC32">
        <v>3.6244851000000002E-2</v>
      </c>
      <c r="AD32">
        <v>1.9637549999999999</v>
      </c>
      <c r="AE32">
        <v>5</v>
      </c>
      <c r="AF32">
        <v>0.69897000399999998</v>
      </c>
      <c r="AG32">
        <v>0.84849450000000004</v>
      </c>
      <c r="AH32">
        <v>-0.149524464</v>
      </c>
      <c r="AI32">
        <v>3.6294095990000002</v>
      </c>
      <c r="AJ32">
        <v>4260</v>
      </c>
      <c r="AK32">
        <v>0.184</v>
      </c>
      <c r="AL32">
        <v>45.5</v>
      </c>
      <c r="AM32">
        <v>45.5</v>
      </c>
    </row>
    <row r="33" spans="1:39" x14ac:dyDescent="0.35">
      <c r="A33" t="s">
        <v>38</v>
      </c>
      <c r="B33" t="s">
        <v>145</v>
      </c>
      <c r="C33" t="s">
        <v>146</v>
      </c>
      <c r="D33" s="7" t="s">
        <v>196</v>
      </c>
      <c r="E33" t="s">
        <v>147</v>
      </c>
      <c r="F33" t="s">
        <v>148</v>
      </c>
      <c r="G33" t="s">
        <v>174</v>
      </c>
      <c r="H33" t="s">
        <v>57</v>
      </c>
      <c r="I33">
        <v>2000</v>
      </c>
      <c r="J33">
        <v>3.301029996</v>
      </c>
      <c r="K33">
        <v>14025000</v>
      </c>
      <c r="L33">
        <v>7.1469028699999999</v>
      </c>
      <c r="M33">
        <v>7.5758359999999998</v>
      </c>
      <c r="N33">
        <v>-0.42893322499999997</v>
      </c>
      <c r="O33">
        <v>15</v>
      </c>
      <c r="P33">
        <v>1.1760912590000001</v>
      </c>
      <c r="Q33">
        <v>1.1043369999999999</v>
      </c>
      <c r="R33">
        <v>7.1754395999999998E-2</v>
      </c>
      <c r="S33">
        <v>60</v>
      </c>
      <c r="T33">
        <v>1.7781512500000001</v>
      </c>
      <c r="U33">
        <v>1.4944820000000001</v>
      </c>
      <c r="V33">
        <v>0.28366884999999997</v>
      </c>
      <c r="W33">
        <v>77</v>
      </c>
      <c r="X33">
        <v>1.886490725</v>
      </c>
      <c r="Y33">
        <v>1.994362</v>
      </c>
      <c r="Z33">
        <v>-0.10787177000000001</v>
      </c>
      <c r="AA33">
        <v>387.5</v>
      </c>
      <c r="AB33">
        <v>2.5882717070000001</v>
      </c>
      <c r="AC33">
        <v>-0.106805892</v>
      </c>
      <c r="AD33">
        <v>2.6950780000000001</v>
      </c>
      <c r="AE33">
        <v>9</v>
      </c>
      <c r="AF33">
        <v>0.95424250899999996</v>
      </c>
      <c r="AG33">
        <v>1.0096035999999999</v>
      </c>
      <c r="AH33">
        <v>-5.5361120999999999E-2</v>
      </c>
      <c r="AI33">
        <v>3.6042260530000001</v>
      </c>
      <c r="AJ33">
        <v>4020</v>
      </c>
      <c r="AK33">
        <v>0.85899999999999999</v>
      </c>
      <c r="AL33">
        <v>-13</v>
      </c>
      <c r="AM33">
        <v>13</v>
      </c>
    </row>
    <row r="34" spans="1:39" x14ac:dyDescent="0.35">
      <c r="A34" t="s">
        <v>38</v>
      </c>
      <c r="B34" t="s">
        <v>39</v>
      </c>
      <c r="C34" t="s">
        <v>87</v>
      </c>
      <c r="D34" s="7" t="s">
        <v>197</v>
      </c>
      <c r="E34" t="s">
        <v>88</v>
      </c>
      <c r="F34" t="s">
        <v>89</v>
      </c>
      <c r="G34" t="s">
        <v>174</v>
      </c>
      <c r="H34" t="s">
        <v>57</v>
      </c>
      <c r="I34">
        <v>596</v>
      </c>
      <c r="J34">
        <v>2.7752462599999999</v>
      </c>
      <c r="K34">
        <v>1360000</v>
      </c>
      <c r="L34">
        <v>6.1335389080000002</v>
      </c>
      <c r="M34">
        <v>6.1388660000000002</v>
      </c>
      <c r="N34">
        <v>-5.3267059999999996E-3</v>
      </c>
      <c r="O34">
        <v>15.5</v>
      </c>
      <c r="P34">
        <v>1.190331698</v>
      </c>
      <c r="Q34">
        <v>1.08118</v>
      </c>
      <c r="R34">
        <v>0.109151805</v>
      </c>
      <c r="S34">
        <v>84</v>
      </c>
      <c r="T34">
        <v>1.924279286</v>
      </c>
      <c r="U34">
        <v>1.459705</v>
      </c>
      <c r="V34">
        <v>0.46457461</v>
      </c>
      <c r="W34">
        <v>62.5</v>
      </c>
      <c r="X34">
        <v>1.795880017</v>
      </c>
      <c r="Y34">
        <v>1.6690179999999999</v>
      </c>
      <c r="Z34">
        <v>0.12686227</v>
      </c>
      <c r="AA34">
        <v>160</v>
      </c>
      <c r="AB34">
        <v>2.204119983</v>
      </c>
      <c r="AC34">
        <v>-7.4196208999999999E-2</v>
      </c>
      <c r="AD34">
        <v>2.2783159999999998</v>
      </c>
      <c r="AE34">
        <v>11</v>
      </c>
      <c r="AF34">
        <v>1.0413926849999999</v>
      </c>
      <c r="AG34">
        <v>0.91779180000000005</v>
      </c>
      <c r="AH34">
        <v>0.123600924</v>
      </c>
      <c r="AI34">
        <v>3.6042260530000001</v>
      </c>
      <c r="AJ34">
        <v>4020</v>
      </c>
      <c r="AK34">
        <v>1.03E-2</v>
      </c>
      <c r="AL34">
        <v>1.27</v>
      </c>
      <c r="AM34">
        <v>1.3</v>
      </c>
    </row>
    <row r="35" spans="1:39" x14ac:dyDescent="0.35">
      <c r="A35" t="s">
        <v>38</v>
      </c>
      <c r="B35" t="s">
        <v>39</v>
      </c>
      <c r="C35" t="s">
        <v>90</v>
      </c>
      <c r="D35" s="9">
        <v>40</v>
      </c>
      <c r="E35" t="s">
        <v>91</v>
      </c>
      <c r="F35" t="s">
        <v>92</v>
      </c>
      <c r="G35" t="s">
        <v>172</v>
      </c>
      <c r="H35" t="s">
        <v>43</v>
      </c>
      <c r="I35">
        <v>220</v>
      </c>
      <c r="J35">
        <v>2.342422681</v>
      </c>
      <c r="K35">
        <v>60000</v>
      </c>
      <c r="L35">
        <v>4.7781512499999996</v>
      </c>
      <c r="M35">
        <v>4.9559559999999996</v>
      </c>
      <c r="N35">
        <v>-0.177804617</v>
      </c>
      <c r="O35">
        <v>11.5</v>
      </c>
      <c r="P35">
        <v>1.06069784</v>
      </c>
      <c r="Q35">
        <v>1.062117</v>
      </c>
      <c r="R35">
        <v>-1.419305E-3</v>
      </c>
      <c r="S35">
        <v>22.5</v>
      </c>
      <c r="T35">
        <v>1.352182518</v>
      </c>
      <c r="U35">
        <v>1.431076</v>
      </c>
      <c r="V35">
        <v>-7.8893240000000003E-2</v>
      </c>
      <c r="W35">
        <v>35</v>
      </c>
      <c r="X35">
        <v>1.5440680440000001</v>
      </c>
      <c r="Y35">
        <v>1.401195</v>
      </c>
      <c r="Z35">
        <v>0.14287311</v>
      </c>
      <c r="AA35">
        <v>95</v>
      </c>
      <c r="AB35">
        <v>1.977723605</v>
      </c>
      <c r="AC35">
        <v>4.2484141000000003E-2</v>
      </c>
      <c r="AD35">
        <v>1.9352389999999999</v>
      </c>
      <c r="AE35" t="s">
        <v>44</v>
      </c>
      <c r="AF35">
        <v>0.83386199999999999</v>
      </c>
      <c r="AG35">
        <v>0.83386199999999999</v>
      </c>
      <c r="AH35">
        <v>0</v>
      </c>
      <c r="AI35">
        <v>0.69897000399999998</v>
      </c>
      <c r="AJ35">
        <v>5</v>
      </c>
      <c r="AK35">
        <v>0.01</v>
      </c>
      <c r="AL35">
        <v>-2.1</v>
      </c>
      <c r="AM35">
        <v>2.1</v>
      </c>
    </row>
    <row r="36" spans="1:39" x14ac:dyDescent="0.35">
      <c r="A36" t="s">
        <v>38</v>
      </c>
      <c r="B36" t="s">
        <v>39</v>
      </c>
      <c r="C36" t="s">
        <v>93</v>
      </c>
      <c r="D36" s="8">
        <v>111115130</v>
      </c>
      <c r="E36" t="s">
        <v>94</v>
      </c>
      <c r="F36" t="s">
        <v>95</v>
      </c>
      <c r="G36" t="s">
        <v>174</v>
      </c>
      <c r="H36" t="s">
        <v>43</v>
      </c>
      <c r="I36">
        <v>257</v>
      </c>
      <c r="J36">
        <v>2.4099331230000001</v>
      </c>
      <c r="K36">
        <v>57400</v>
      </c>
      <c r="L36">
        <v>4.7589118920000004</v>
      </c>
      <c r="M36">
        <v>5.1404620000000003</v>
      </c>
      <c r="N36">
        <v>-0.38155046599999998</v>
      </c>
      <c r="O36">
        <v>11.5</v>
      </c>
      <c r="P36">
        <v>1.06069784</v>
      </c>
      <c r="Q36">
        <v>1.0650900000000001</v>
      </c>
      <c r="R36">
        <v>-4.3926520000000004E-3</v>
      </c>
      <c r="S36">
        <v>30</v>
      </c>
      <c r="T36">
        <v>1.4771212549999999</v>
      </c>
      <c r="U36">
        <v>1.435541</v>
      </c>
      <c r="V36">
        <v>4.158005E-2</v>
      </c>
      <c r="W36">
        <v>46</v>
      </c>
      <c r="X36">
        <v>1.662757832</v>
      </c>
      <c r="Y36">
        <v>1.4429689999999999</v>
      </c>
      <c r="Z36">
        <v>0.21978875</v>
      </c>
      <c r="AA36">
        <v>83</v>
      </c>
      <c r="AB36">
        <v>1.9190780919999999</v>
      </c>
      <c r="AC36">
        <v>-6.9673387000000003E-2</v>
      </c>
      <c r="AD36">
        <v>1.9887509999999999</v>
      </c>
      <c r="AE36">
        <v>10</v>
      </c>
      <c r="AF36">
        <v>1</v>
      </c>
      <c r="AG36">
        <v>0.85400109999999996</v>
      </c>
      <c r="AH36">
        <v>0.14599888</v>
      </c>
      <c r="AI36">
        <v>3.62324929</v>
      </c>
      <c r="AJ36">
        <v>4200</v>
      </c>
      <c r="AK36">
        <v>1.26E-2</v>
      </c>
      <c r="AL36">
        <v>-3.45</v>
      </c>
      <c r="AM36">
        <v>3.5</v>
      </c>
    </row>
    <row r="37" spans="1:39" x14ac:dyDescent="0.35">
      <c r="A37" t="s">
        <v>38</v>
      </c>
      <c r="B37" t="s">
        <v>39</v>
      </c>
      <c r="C37" t="s">
        <v>96</v>
      </c>
      <c r="D37" s="8">
        <v>3120130</v>
      </c>
      <c r="E37" t="s">
        <v>97</v>
      </c>
      <c r="F37" t="s">
        <v>98</v>
      </c>
      <c r="G37" t="s">
        <v>174</v>
      </c>
      <c r="H37" t="s">
        <v>57</v>
      </c>
      <c r="I37">
        <v>256</v>
      </c>
      <c r="J37">
        <v>2.4082399649999999</v>
      </c>
      <c r="K37">
        <v>135900</v>
      </c>
      <c r="L37">
        <v>5.133219457</v>
      </c>
      <c r="M37">
        <v>5.1358350000000002</v>
      </c>
      <c r="N37">
        <v>-2.6154889999999999E-3</v>
      </c>
      <c r="O37">
        <v>12.5</v>
      </c>
      <c r="P37">
        <v>1.096910013</v>
      </c>
      <c r="Q37">
        <v>1.065016</v>
      </c>
      <c r="R37">
        <v>3.1894091999999999E-2</v>
      </c>
      <c r="S37">
        <v>40</v>
      </c>
      <c r="T37">
        <v>1.602059991</v>
      </c>
      <c r="U37">
        <v>1.4354290000000001</v>
      </c>
      <c r="V37">
        <v>0.16663078000000001</v>
      </c>
      <c r="W37">
        <v>57.5</v>
      </c>
      <c r="X37">
        <v>1.7596678450000001</v>
      </c>
      <c r="Y37">
        <v>1.441921</v>
      </c>
      <c r="Z37">
        <v>0.31774645000000001</v>
      </c>
      <c r="AA37">
        <v>96.5</v>
      </c>
      <c r="AB37">
        <v>1.9845273130000001</v>
      </c>
      <c r="AC37">
        <v>-2.8820870000000002E-3</v>
      </c>
      <c r="AD37">
        <v>1.987409</v>
      </c>
      <c r="AE37">
        <v>9</v>
      </c>
      <c r="AF37">
        <v>0.95424250899999996</v>
      </c>
      <c r="AG37">
        <v>0.85370550000000001</v>
      </c>
      <c r="AH37">
        <v>0.100537047</v>
      </c>
      <c r="AI37">
        <v>3.62324929</v>
      </c>
      <c r="AJ37">
        <v>4200</v>
      </c>
      <c r="AK37">
        <v>1.14E-2</v>
      </c>
      <c r="AL37">
        <v>-0.88100000000000001</v>
      </c>
      <c r="AM37">
        <v>0.9</v>
      </c>
    </row>
    <row r="38" spans="1:39" x14ac:dyDescent="0.35">
      <c r="A38" t="s">
        <v>38</v>
      </c>
      <c r="B38" t="s">
        <v>39</v>
      </c>
      <c r="C38" t="s">
        <v>99</v>
      </c>
      <c r="D38" s="7" t="s">
        <v>198</v>
      </c>
      <c r="E38" t="s">
        <v>100</v>
      </c>
      <c r="F38" t="s">
        <v>101</v>
      </c>
      <c r="G38" t="s">
        <v>173</v>
      </c>
      <c r="H38" t="s">
        <v>43</v>
      </c>
      <c r="I38">
        <v>230</v>
      </c>
      <c r="J38">
        <v>2.361727836</v>
      </c>
      <c r="K38">
        <v>110000</v>
      </c>
      <c r="L38">
        <v>5.0413926849999999</v>
      </c>
      <c r="M38">
        <v>5.0087169999999999</v>
      </c>
      <c r="N38">
        <v>3.2675700000000002E-2</v>
      </c>
      <c r="O38">
        <v>12</v>
      </c>
      <c r="P38">
        <v>1.0791812460000001</v>
      </c>
      <c r="Q38">
        <v>1.062967</v>
      </c>
      <c r="R38">
        <v>1.6213847999999999E-2</v>
      </c>
      <c r="S38">
        <v>36</v>
      </c>
      <c r="T38">
        <v>1.556302501</v>
      </c>
      <c r="U38">
        <v>1.432353</v>
      </c>
      <c r="V38">
        <v>0.12394980999999999</v>
      </c>
      <c r="W38" t="s">
        <v>44</v>
      </c>
      <c r="X38">
        <v>1.409543</v>
      </c>
      <c r="Y38">
        <v>1.409543</v>
      </c>
      <c r="Z38">
        <v>0</v>
      </c>
      <c r="AA38">
        <v>104</v>
      </c>
      <c r="AB38">
        <v>2.0170333390000001</v>
      </c>
      <c r="AC38">
        <v>6.6491682999999996E-2</v>
      </c>
      <c r="AD38">
        <v>1.950542</v>
      </c>
      <c r="AE38">
        <v>11.5</v>
      </c>
      <c r="AF38">
        <v>1.06069784</v>
      </c>
      <c r="AG38">
        <v>0.84558359999999999</v>
      </c>
      <c r="AH38">
        <v>0.21511428299999999</v>
      </c>
      <c r="AI38">
        <v>4.1760912589999997</v>
      </c>
      <c r="AJ38">
        <v>15000</v>
      </c>
      <c r="AK38">
        <v>0.01</v>
      </c>
      <c r="AL38">
        <v>37.5</v>
      </c>
      <c r="AM38">
        <v>37.5</v>
      </c>
    </row>
    <row r="39" spans="1:39" x14ac:dyDescent="0.35">
      <c r="A39" t="s">
        <v>38</v>
      </c>
      <c r="B39" t="s">
        <v>39</v>
      </c>
      <c r="C39" t="s">
        <v>102</v>
      </c>
      <c r="D39" s="8">
        <v>57109112130</v>
      </c>
      <c r="E39" t="s">
        <v>103</v>
      </c>
      <c r="F39" t="s">
        <v>104</v>
      </c>
      <c r="G39" t="s">
        <v>172</v>
      </c>
      <c r="H39" t="s">
        <v>43</v>
      </c>
      <c r="I39">
        <v>235</v>
      </c>
      <c r="J39">
        <v>2.3710678619999999</v>
      </c>
      <c r="K39">
        <v>50500</v>
      </c>
      <c r="L39">
        <v>4.7032913780000003</v>
      </c>
      <c r="M39">
        <v>5.034243</v>
      </c>
      <c r="N39">
        <v>-0.33095196100000002</v>
      </c>
      <c r="O39">
        <v>10.5</v>
      </c>
      <c r="P39">
        <v>1.021189299</v>
      </c>
      <c r="Q39">
        <v>1.0633790000000001</v>
      </c>
      <c r="R39">
        <v>-4.2189459999999998E-2</v>
      </c>
      <c r="S39">
        <v>36</v>
      </c>
      <c r="T39">
        <v>1.556302501</v>
      </c>
      <c r="U39">
        <v>1.4329700000000001</v>
      </c>
      <c r="V39">
        <v>0.12333202</v>
      </c>
      <c r="W39" t="s">
        <v>44</v>
      </c>
      <c r="X39">
        <v>1.4160079999999999</v>
      </c>
      <c r="Y39">
        <v>1.4160079999999999</v>
      </c>
      <c r="Z39">
        <v>0</v>
      </c>
      <c r="AA39">
        <v>80</v>
      </c>
      <c r="AB39">
        <v>1.903089987</v>
      </c>
      <c r="AC39">
        <v>-5.4855022000000003E-2</v>
      </c>
      <c r="AD39">
        <v>1.957945</v>
      </c>
      <c r="AE39">
        <v>5.5</v>
      </c>
      <c r="AF39">
        <v>0.74036268900000002</v>
      </c>
      <c r="AG39">
        <v>0.84721449999999998</v>
      </c>
      <c r="AH39">
        <v>-0.106851815</v>
      </c>
      <c r="AI39">
        <v>3.627365857</v>
      </c>
      <c r="AJ39">
        <v>4240</v>
      </c>
      <c r="AK39">
        <v>1.3599999999999999E-2</v>
      </c>
      <c r="AL39">
        <v>0.57899999999999996</v>
      </c>
      <c r="AM39">
        <v>0.6</v>
      </c>
    </row>
    <row r="40" spans="1:39" x14ac:dyDescent="0.35">
      <c r="A40" t="s">
        <v>38</v>
      </c>
      <c r="B40" t="s">
        <v>39</v>
      </c>
      <c r="C40" t="s">
        <v>110</v>
      </c>
      <c r="D40" s="7" t="s">
        <v>199</v>
      </c>
      <c r="E40" t="s">
        <v>111</v>
      </c>
      <c r="F40" t="s">
        <v>112</v>
      </c>
      <c r="G40" t="s">
        <v>174</v>
      </c>
      <c r="H40" t="s">
        <v>43</v>
      </c>
      <c r="I40">
        <v>265</v>
      </c>
      <c r="J40">
        <v>2.423245874</v>
      </c>
      <c r="K40">
        <v>130000</v>
      </c>
      <c r="L40">
        <v>5.1139433519999997</v>
      </c>
      <c r="M40">
        <v>5.1768460000000003</v>
      </c>
      <c r="N40">
        <v>-6.2902843999999999E-2</v>
      </c>
      <c r="O40" t="s">
        <v>44</v>
      </c>
      <c r="P40">
        <v>1.0648850000000001</v>
      </c>
      <c r="Q40">
        <v>1.0648850000000001</v>
      </c>
      <c r="R40">
        <v>0</v>
      </c>
      <c r="S40" t="s">
        <v>44</v>
      </c>
      <c r="T40">
        <v>1.4372130000000001</v>
      </c>
      <c r="U40">
        <v>1.4372130000000001</v>
      </c>
      <c r="V40">
        <v>0</v>
      </c>
      <c r="W40">
        <v>32</v>
      </c>
      <c r="X40">
        <v>1.5051499779999999</v>
      </c>
      <c r="Y40">
        <v>1.4512069999999999</v>
      </c>
      <c r="Z40">
        <v>5.394322E-2</v>
      </c>
      <c r="AA40" t="s">
        <v>44</v>
      </c>
      <c r="AB40">
        <v>2.0000849999999999</v>
      </c>
      <c r="AC40">
        <v>0</v>
      </c>
      <c r="AD40">
        <v>2.423245874</v>
      </c>
      <c r="AE40">
        <v>10</v>
      </c>
      <c r="AF40">
        <v>1</v>
      </c>
      <c r="AG40">
        <v>0.85632580000000003</v>
      </c>
      <c r="AH40">
        <v>0.14367421999999999</v>
      </c>
      <c r="AI40">
        <v>3.6222140230000002</v>
      </c>
      <c r="AJ40">
        <v>4190</v>
      </c>
      <c r="AK40">
        <v>1.2800000000000001E-2</v>
      </c>
      <c r="AL40">
        <v>0.77800000000000002</v>
      </c>
      <c r="AM40">
        <v>0.8</v>
      </c>
    </row>
    <row r="41" spans="1:39" x14ac:dyDescent="0.35">
      <c r="A41" t="s">
        <v>38</v>
      </c>
      <c r="B41" t="s">
        <v>39</v>
      </c>
      <c r="C41" t="s">
        <v>105</v>
      </c>
      <c r="D41" s="8">
        <v>165166167168</v>
      </c>
      <c r="E41" t="s">
        <v>106</v>
      </c>
      <c r="F41" t="s">
        <v>44</v>
      </c>
      <c r="G41" t="s">
        <v>174</v>
      </c>
      <c r="H41" t="s">
        <v>43</v>
      </c>
      <c r="I41">
        <v>237</v>
      </c>
      <c r="J41">
        <v>2.3747483460000001</v>
      </c>
      <c r="K41">
        <v>175000</v>
      </c>
      <c r="L41">
        <v>5.2430380489999999</v>
      </c>
      <c r="M41">
        <v>5.0443020000000001</v>
      </c>
      <c r="N41">
        <v>0.19873592300000001</v>
      </c>
      <c r="O41">
        <v>12</v>
      </c>
      <c r="P41">
        <v>1.0791812460000001</v>
      </c>
      <c r="Q41">
        <v>1.0635410000000001</v>
      </c>
      <c r="R41">
        <v>1.5640389000000001E-2</v>
      </c>
      <c r="S41">
        <v>36.5</v>
      </c>
      <c r="T41">
        <v>1.562292864</v>
      </c>
      <c r="U41">
        <v>1.433214</v>
      </c>
      <c r="V41">
        <v>0.12907894</v>
      </c>
      <c r="W41" t="s">
        <v>44</v>
      </c>
      <c r="X41">
        <v>1.418555</v>
      </c>
      <c r="Y41">
        <v>1.418555</v>
      </c>
      <c r="Z41">
        <v>0</v>
      </c>
      <c r="AA41">
        <v>88</v>
      </c>
      <c r="AB41">
        <v>1.9444826719999999</v>
      </c>
      <c r="AC41">
        <v>-1.6379665000000002E-2</v>
      </c>
      <c r="AD41">
        <v>1.9608620000000001</v>
      </c>
      <c r="AE41">
        <v>9</v>
      </c>
      <c r="AF41">
        <v>0.95424250899999996</v>
      </c>
      <c r="AG41">
        <v>0.84785719999999998</v>
      </c>
      <c r="AH41">
        <v>0.106385323</v>
      </c>
      <c r="AI41">
        <v>3.3483048630000001</v>
      </c>
      <c r="AJ41">
        <v>2230</v>
      </c>
      <c r="AK41">
        <v>0.14799999999999999</v>
      </c>
      <c r="AL41">
        <v>1.0900000000000001</v>
      </c>
      <c r="AM41">
        <v>1.1000000000000001</v>
      </c>
    </row>
    <row r="42" spans="1:39" x14ac:dyDescent="0.35">
      <c r="A42" t="s">
        <v>38</v>
      </c>
      <c r="B42" t="s">
        <v>39</v>
      </c>
      <c r="C42" t="s">
        <v>107</v>
      </c>
      <c r="D42" s="7" t="s">
        <v>200</v>
      </c>
      <c r="E42" t="s">
        <v>108</v>
      </c>
      <c r="F42" t="s">
        <v>109</v>
      </c>
      <c r="G42" t="s">
        <v>172</v>
      </c>
      <c r="H42" t="s">
        <v>43</v>
      </c>
      <c r="I42">
        <v>400</v>
      </c>
      <c r="J42">
        <v>2.602059991</v>
      </c>
      <c r="K42">
        <v>175000</v>
      </c>
      <c r="L42">
        <v>5.2430380489999999</v>
      </c>
      <c r="M42">
        <v>5.665546</v>
      </c>
      <c r="N42">
        <v>-0.42250832900000002</v>
      </c>
      <c r="O42">
        <v>12</v>
      </c>
      <c r="P42">
        <v>1.0791812460000001</v>
      </c>
      <c r="Q42">
        <v>1.0735520000000001</v>
      </c>
      <c r="R42">
        <v>5.6289549999999997E-3</v>
      </c>
      <c r="S42">
        <v>24</v>
      </c>
      <c r="T42">
        <v>1.3802112419999999</v>
      </c>
      <c r="U42">
        <v>1.4482489999999999</v>
      </c>
      <c r="V42">
        <v>-6.8038109999999999E-2</v>
      </c>
      <c r="W42">
        <v>51.6</v>
      </c>
      <c r="X42">
        <v>1.712649702</v>
      </c>
      <c r="Y42">
        <v>1.5618529999999999</v>
      </c>
      <c r="Z42">
        <v>0.15079624999999999</v>
      </c>
      <c r="AA42">
        <v>117</v>
      </c>
      <c r="AB42">
        <v>2.068185862</v>
      </c>
      <c r="AC42">
        <v>-7.2854587999999998E-2</v>
      </c>
      <c r="AD42">
        <v>2.1410399999999998</v>
      </c>
      <c r="AE42">
        <v>9</v>
      </c>
      <c r="AF42">
        <v>0.95424250899999996</v>
      </c>
      <c r="AG42">
        <v>0.88755010000000001</v>
      </c>
      <c r="AH42">
        <v>6.6692373999999999E-2</v>
      </c>
      <c r="AI42">
        <v>3.6201360550000001</v>
      </c>
      <c r="AJ42">
        <v>4170</v>
      </c>
      <c r="AK42">
        <v>1.5699999999999999E-2</v>
      </c>
      <c r="AL42">
        <v>-0.79600000000000004</v>
      </c>
      <c r="AM42">
        <v>0.8</v>
      </c>
    </row>
    <row r="43" spans="1:39" x14ac:dyDescent="0.35">
      <c r="A43" t="s">
        <v>38</v>
      </c>
      <c r="B43" t="s">
        <v>149</v>
      </c>
      <c r="C43" t="s">
        <v>163</v>
      </c>
      <c r="D43" s="7" t="s">
        <v>201</v>
      </c>
      <c r="E43" t="s">
        <v>164</v>
      </c>
      <c r="F43" t="s">
        <v>165</v>
      </c>
      <c r="G43" t="s">
        <v>173</v>
      </c>
      <c r="H43" t="s">
        <v>43</v>
      </c>
      <c r="I43">
        <v>693</v>
      </c>
      <c r="J43">
        <v>2.8407332350000001</v>
      </c>
      <c r="K43">
        <v>4775000</v>
      </c>
      <c r="L43">
        <v>6.6789733760000001</v>
      </c>
      <c r="M43">
        <v>6.3178419999999997</v>
      </c>
      <c r="N43">
        <v>0.36113141900000001</v>
      </c>
      <c r="O43">
        <v>12</v>
      </c>
      <c r="P43">
        <v>1.0791812460000001</v>
      </c>
      <c r="Q43">
        <v>1.0840639999999999</v>
      </c>
      <c r="R43">
        <v>-4.8828750000000001E-3</v>
      </c>
      <c r="S43" t="s">
        <v>44</v>
      </c>
      <c r="T43">
        <v>1.578249</v>
      </c>
      <c r="U43">
        <v>1.578249</v>
      </c>
      <c r="V43">
        <v>0</v>
      </c>
      <c r="W43">
        <v>62</v>
      </c>
      <c r="X43">
        <v>1.792391689</v>
      </c>
      <c r="Y43">
        <v>1.7095400000000001</v>
      </c>
      <c r="Z43">
        <v>8.2851880000000003E-2</v>
      </c>
      <c r="AA43">
        <v>270</v>
      </c>
      <c r="AB43">
        <v>2.4313637639999999</v>
      </c>
      <c r="AC43">
        <v>0.101139455</v>
      </c>
      <c r="AD43">
        <v>2.3302239999999999</v>
      </c>
      <c r="AE43">
        <v>9</v>
      </c>
      <c r="AF43">
        <v>0.95424250899999996</v>
      </c>
      <c r="AG43">
        <v>0.92922700000000003</v>
      </c>
      <c r="AH43">
        <v>2.5015473E-2</v>
      </c>
      <c r="AI43">
        <v>3.6170003409999998</v>
      </c>
      <c r="AJ43">
        <v>4140</v>
      </c>
      <c r="AK43">
        <v>3.6299999999999999E-2</v>
      </c>
      <c r="AL43">
        <v>-1.86</v>
      </c>
      <c r="AM43">
        <v>1.9</v>
      </c>
    </row>
  </sheetData>
  <sortState xmlns:xlrd2="http://schemas.microsoft.com/office/spreadsheetml/2017/richdata2" ref="A2:AM43">
    <sortCondition ref="C1:C43"/>
  </sortState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EF5-85F6-47F9-B89D-5CC95FCBB77C}">
  <dimension ref="A1:B169"/>
  <sheetViews>
    <sheetView topLeftCell="A155" workbookViewId="0">
      <selection activeCell="D163" sqref="D163"/>
    </sheetView>
  </sheetViews>
  <sheetFormatPr defaultRowHeight="14.5" x14ac:dyDescent="0.35"/>
  <cols>
    <col min="1" max="1" width="8.7265625" style="10"/>
    <col min="2" max="2" width="8.7265625" style="13"/>
  </cols>
  <sheetData>
    <row r="1" spans="1:2" x14ac:dyDescent="0.35">
      <c r="A1" s="10">
        <v>1</v>
      </c>
      <c r="B1" s="11" t="s">
        <v>233</v>
      </c>
    </row>
    <row r="2" spans="1:2" x14ac:dyDescent="0.35">
      <c r="A2" s="10">
        <f>A1+1</f>
        <v>2</v>
      </c>
      <c r="B2" s="11" t="s">
        <v>234</v>
      </c>
    </row>
    <row r="3" spans="1:2" x14ac:dyDescent="0.35">
      <c r="A3" s="10">
        <f t="shared" ref="A3:A66" si="0">A2+1</f>
        <v>3</v>
      </c>
      <c r="B3" s="11" t="s">
        <v>235</v>
      </c>
    </row>
    <row r="4" spans="1:2" x14ac:dyDescent="0.35">
      <c r="A4" s="10">
        <f t="shared" si="0"/>
        <v>4</v>
      </c>
      <c r="B4" s="11" t="s">
        <v>236</v>
      </c>
    </row>
    <row r="5" spans="1:2" x14ac:dyDescent="0.35">
      <c r="A5" s="10">
        <f t="shared" si="0"/>
        <v>5</v>
      </c>
      <c r="B5" s="11" t="s">
        <v>237</v>
      </c>
    </row>
    <row r="6" spans="1:2" x14ac:dyDescent="0.35">
      <c r="A6" s="10">
        <f t="shared" si="0"/>
        <v>6</v>
      </c>
      <c r="B6" s="11" t="s">
        <v>203</v>
      </c>
    </row>
    <row r="7" spans="1:2" x14ac:dyDescent="0.35">
      <c r="A7" s="10">
        <f t="shared" si="0"/>
        <v>7</v>
      </c>
      <c r="B7" s="11" t="s">
        <v>238</v>
      </c>
    </row>
    <row r="8" spans="1:2" x14ac:dyDescent="0.35">
      <c r="A8" s="10">
        <f t="shared" si="0"/>
        <v>8</v>
      </c>
      <c r="B8" s="11" t="s">
        <v>239</v>
      </c>
    </row>
    <row r="9" spans="1:2" x14ac:dyDescent="0.35">
      <c r="A9" s="10">
        <f t="shared" si="0"/>
        <v>9</v>
      </c>
      <c r="B9" s="11" t="s">
        <v>204</v>
      </c>
    </row>
    <row r="10" spans="1:2" x14ac:dyDescent="0.35">
      <c r="A10" s="10">
        <f t="shared" si="0"/>
        <v>10</v>
      </c>
      <c r="B10" s="11" t="s">
        <v>240</v>
      </c>
    </row>
    <row r="11" spans="1:2" x14ac:dyDescent="0.35">
      <c r="A11" s="10">
        <f t="shared" si="0"/>
        <v>11</v>
      </c>
      <c r="B11" s="11" t="s">
        <v>241</v>
      </c>
    </row>
    <row r="12" spans="1:2" x14ac:dyDescent="0.35">
      <c r="A12" s="10">
        <f t="shared" si="0"/>
        <v>12</v>
      </c>
      <c r="B12" s="11" t="s">
        <v>242</v>
      </c>
    </row>
    <row r="13" spans="1:2" x14ac:dyDescent="0.35">
      <c r="A13" s="10">
        <f t="shared" si="0"/>
        <v>13</v>
      </c>
      <c r="B13" s="11" t="s">
        <v>243</v>
      </c>
    </row>
    <row r="14" spans="1:2" x14ac:dyDescent="0.35">
      <c r="A14" s="10">
        <f t="shared" si="0"/>
        <v>14</v>
      </c>
      <c r="B14" s="11" t="s">
        <v>244</v>
      </c>
    </row>
    <row r="15" spans="1:2" x14ac:dyDescent="0.35">
      <c r="A15" s="10">
        <f t="shared" si="0"/>
        <v>15</v>
      </c>
      <c r="B15" s="11" t="s">
        <v>245</v>
      </c>
    </row>
    <row r="16" spans="1:2" x14ac:dyDescent="0.35">
      <c r="A16" s="10">
        <f t="shared" si="0"/>
        <v>16</v>
      </c>
      <c r="B16" s="11" t="s">
        <v>246</v>
      </c>
    </row>
    <row r="17" spans="1:2" ht="15" x14ac:dyDescent="0.35">
      <c r="A17" s="10">
        <f t="shared" si="0"/>
        <v>17</v>
      </c>
      <c r="B17" s="11" t="s">
        <v>247</v>
      </c>
    </row>
    <row r="18" spans="1:2" x14ac:dyDescent="0.35">
      <c r="A18" s="10">
        <f t="shared" si="0"/>
        <v>18</v>
      </c>
      <c r="B18" s="11" t="s">
        <v>248</v>
      </c>
    </row>
    <row r="19" spans="1:2" x14ac:dyDescent="0.35">
      <c r="A19" s="10">
        <f t="shared" si="0"/>
        <v>19</v>
      </c>
      <c r="B19" s="11" t="s">
        <v>249</v>
      </c>
    </row>
    <row r="20" spans="1:2" x14ac:dyDescent="0.35">
      <c r="A20" s="10">
        <f t="shared" si="0"/>
        <v>20</v>
      </c>
      <c r="B20" s="11" t="s">
        <v>250</v>
      </c>
    </row>
    <row r="21" spans="1:2" x14ac:dyDescent="0.35">
      <c r="A21" s="10">
        <f t="shared" si="0"/>
        <v>21</v>
      </c>
      <c r="B21" s="11" t="s">
        <v>251</v>
      </c>
    </row>
    <row r="22" spans="1:2" x14ac:dyDescent="0.35">
      <c r="A22" s="10">
        <f t="shared" si="0"/>
        <v>22</v>
      </c>
      <c r="B22" s="11" t="s">
        <v>252</v>
      </c>
    </row>
    <row r="23" spans="1:2" x14ac:dyDescent="0.35">
      <c r="A23" s="10">
        <f t="shared" si="0"/>
        <v>23</v>
      </c>
      <c r="B23" s="11" t="s">
        <v>253</v>
      </c>
    </row>
    <row r="24" spans="1:2" x14ac:dyDescent="0.35">
      <c r="A24" s="10">
        <f t="shared" si="0"/>
        <v>24</v>
      </c>
      <c r="B24" s="11" t="s">
        <v>254</v>
      </c>
    </row>
    <row r="25" spans="1:2" x14ac:dyDescent="0.35">
      <c r="A25" s="10">
        <f t="shared" si="0"/>
        <v>25</v>
      </c>
      <c r="B25" s="11" t="s">
        <v>255</v>
      </c>
    </row>
    <row r="26" spans="1:2" x14ac:dyDescent="0.35">
      <c r="A26" s="10">
        <f t="shared" si="0"/>
        <v>26</v>
      </c>
      <c r="B26" s="11" t="s">
        <v>256</v>
      </c>
    </row>
    <row r="27" spans="1:2" x14ac:dyDescent="0.35">
      <c r="A27" s="10">
        <f t="shared" si="0"/>
        <v>27</v>
      </c>
      <c r="B27" s="11" t="s">
        <v>257</v>
      </c>
    </row>
    <row r="28" spans="1:2" x14ac:dyDescent="0.35">
      <c r="A28" s="10">
        <f t="shared" si="0"/>
        <v>28</v>
      </c>
      <c r="B28" s="11" t="s">
        <v>258</v>
      </c>
    </row>
    <row r="29" spans="1:2" x14ac:dyDescent="0.35">
      <c r="A29" s="10">
        <f t="shared" si="0"/>
        <v>29</v>
      </c>
      <c r="B29" s="11" t="s">
        <v>259</v>
      </c>
    </row>
    <row r="30" spans="1:2" x14ac:dyDescent="0.35">
      <c r="A30" s="10">
        <f t="shared" si="0"/>
        <v>30</v>
      </c>
      <c r="B30" s="11" t="s">
        <v>260</v>
      </c>
    </row>
    <row r="31" spans="1:2" x14ac:dyDescent="0.35">
      <c r="A31" s="10">
        <f t="shared" si="0"/>
        <v>31</v>
      </c>
      <c r="B31" s="11" t="s">
        <v>261</v>
      </c>
    </row>
    <row r="32" spans="1:2" x14ac:dyDescent="0.35">
      <c r="A32" s="10">
        <f t="shared" si="0"/>
        <v>32</v>
      </c>
      <c r="B32" s="11" t="s">
        <v>262</v>
      </c>
    </row>
    <row r="33" spans="1:2" x14ac:dyDescent="0.35">
      <c r="A33" s="10">
        <f t="shared" si="0"/>
        <v>33</v>
      </c>
      <c r="B33" s="11" t="s">
        <v>263</v>
      </c>
    </row>
    <row r="34" spans="1:2" x14ac:dyDescent="0.35">
      <c r="A34" s="10">
        <f t="shared" si="0"/>
        <v>34</v>
      </c>
      <c r="B34" s="11" t="s">
        <v>264</v>
      </c>
    </row>
    <row r="35" spans="1:2" x14ac:dyDescent="0.35">
      <c r="A35" s="10">
        <f t="shared" si="0"/>
        <v>35</v>
      </c>
      <c r="B35" s="11" t="s">
        <v>265</v>
      </c>
    </row>
    <row r="36" spans="1:2" x14ac:dyDescent="0.35">
      <c r="A36" s="10">
        <f t="shared" si="0"/>
        <v>36</v>
      </c>
      <c r="B36" s="11" t="s">
        <v>205</v>
      </c>
    </row>
    <row r="37" spans="1:2" x14ac:dyDescent="0.35">
      <c r="A37" s="10">
        <f t="shared" si="0"/>
        <v>37</v>
      </c>
      <c r="B37" s="11" t="s">
        <v>266</v>
      </c>
    </row>
    <row r="38" spans="1:2" x14ac:dyDescent="0.35">
      <c r="A38" s="10">
        <f t="shared" si="0"/>
        <v>38</v>
      </c>
      <c r="B38" s="11" t="s">
        <v>206</v>
      </c>
    </row>
    <row r="39" spans="1:2" x14ac:dyDescent="0.35">
      <c r="A39" s="10">
        <f t="shared" si="0"/>
        <v>39</v>
      </c>
      <c r="B39" s="11" t="s">
        <v>267</v>
      </c>
    </row>
    <row r="40" spans="1:2" x14ac:dyDescent="0.35">
      <c r="A40" s="10">
        <f t="shared" si="0"/>
        <v>40</v>
      </c>
      <c r="B40" s="11" t="s">
        <v>268</v>
      </c>
    </row>
    <row r="41" spans="1:2" x14ac:dyDescent="0.35">
      <c r="A41" s="10">
        <f t="shared" si="0"/>
        <v>41</v>
      </c>
      <c r="B41" s="11" t="s">
        <v>269</v>
      </c>
    </row>
    <row r="42" spans="1:2" x14ac:dyDescent="0.35">
      <c r="A42" s="10">
        <f t="shared" si="0"/>
        <v>42</v>
      </c>
      <c r="B42" s="11" t="s">
        <v>207</v>
      </c>
    </row>
    <row r="43" spans="1:2" x14ac:dyDescent="0.35">
      <c r="A43" s="10">
        <f t="shared" si="0"/>
        <v>43</v>
      </c>
      <c r="B43" s="11" t="s">
        <v>270</v>
      </c>
    </row>
    <row r="44" spans="1:2" x14ac:dyDescent="0.35">
      <c r="A44" s="10">
        <f t="shared" si="0"/>
        <v>44</v>
      </c>
      <c r="B44" s="12" t="s">
        <v>271</v>
      </c>
    </row>
    <row r="45" spans="1:2" x14ac:dyDescent="0.35">
      <c r="A45" s="10">
        <f t="shared" si="0"/>
        <v>45</v>
      </c>
      <c r="B45" s="11" t="s">
        <v>272</v>
      </c>
    </row>
    <row r="46" spans="1:2" x14ac:dyDescent="0.35">
      <c r="A46" s="10">
        <f t="shared" si="0"/>
        <v>46</v>
      </c>
      <c r="B46" s="11" t="s">
        <v>273</v>
      </c>
    </row>
    <row r="47" spans="1:2" x14ac:dyDescent="0.35">
      <c r="A47" s="10">
        <f t="shared" si="0"/>
        <v>47</v>
      </c>
      <c r="B47" s="11" t="s">
        <v>274</v>
      </c>
    </row>
    <row r="48" spans="1:2" x14ac:dyDescent="0.35">
      <c r="A48" s="10">
        <f t="shared" si="0"/>
        <v>48</v>
      </c>
      <c r="B48" s="11" t="s">
        <v>275</v>
      </c>
    </row>
    <row r="49" spans="1:2" x14ac:dyDescent="0.35">
      <c r="A49" s="10">
        <f t="shared" si="0"/>
        <v>49</v>
      </c>
      <c r="B49" s="11" t="s">
        <v>276</v>
      </c>
    </row>
    <row r="50" spans="1:2" x14ac:dyDescent="0.35">
      <c r="A50" s="10">
        <f t="shared" si="0"/>
        <v>50</v>
      </c>
      <c r="B50" s="11" t="s">
        <v>277</v>
      </c>
    </row>
    <row r="51" spans="1:2" x14ac:dyDescent="0.35">
      <c r="A51" s="10">
        <f t="shared" si="0"/>
        <v>51</v>
      </c>
      <c r="B51" s="11" t="s">
        <v>278</v>
      </c>
    </row>
    <row r="52" spans="1:2" x14ac:dyDescent="0.35">
      <c r="A52" s="10">
        <f t="shared" si="0"/>
        <v>52</v>
      </c>
      <c r="B52" s="11" t="s">
        <v>279</v>
      </c>
    </row>
    <row r="53" spans="1:2" x14ac:dyDescent="0.35">
      <c r="A53" s="10">
        <f t="shared" si="0"/>
        <v>53</v>
      </c>
      <c r="B53" s="11" t="s">
        <v>208</v>
      </c>
    </row>
    <row r="54" spans="1:2" x14ac:dyDescent="0.35">
      <c r="A54" s="10">
        <f t="shared" si="0"/>
        <v>54</v>
      </c>
      <c r="B54" s="11" t="s">
        <v>280</v>
      </c>
    </row>
    <row r="55" spans="1:2" x14ac:dyDescent="0.35">
      <c r="A55" s="10">
        <f t="shared" si="0"/>
        <v>55</v>
      </c>
      <c r="B55" s="11" t="s">
        <v>281</v>
      </c>
    </row>
    <row r="56" spans="1:2" x14ac:dyDescent="0.35">
      <c r="A56" s="10">
        <f t="shared" si="0"/>
        <v>56</v>
      </c>
      <c r="B56" s="11" t="s">
        <v>282</v>
      </c>
    </row>
    <row r="57" spans="1:2" x14ac:dyDescent="0.35">
      <c r="A57" s="10">
        <f t="shared" si="0"/>
        <v>57</v>
      </c>
      <c r="B57" s="11" t="s">
        <v>209</v>
      </c>
    </row>
    <row r="58" spans="1:2" x14ac:dyDescent="0.35">
      <c r="A58" s="10">
        <f t="shared" si="0"/>
        <v>58</v>
      </c>
      <c r="B58" s="11" t="s">
        <v>371</v>
      </c>
    </row>
    <row r="59" spans="1:2" x14ac:dyDescent="0.35">
      <c r="A59" s="10">
        <f t="shared" si="0"/>
        <v>59</v>
      </c>
      <c r="B59" s="11" t="s">
        <v>283</v>
      </c>
    </row>
    <row r="60" spans="1:2" x14ac:dyDescent="0.35">
      <c r="A60" s="10">
        <f t="shared" si="0"/>
        <v>60</v>
      </c>
      <c r="B60" s="11" t="s">
        <v>284</v>
      </c>
    </row>
    <row r="61" spans="1:2" x14ac:dyDescent="0.35">
      <c r="A61" s="10">
        <f t="shared" si="0"/>
        <v>61</v>
      </c>
      <c r="B61" s="11" t="s">
        <v>285</v>
      </c>
    </row>
    <row r="62" spans="1:2" x14ac:dyDescent="0.35">
      <c r="A62" s="10">
        <f t="shared" si="0"/>
        <v>62</v>
      </c>
      <c r="B62" s="11" t="s">
        <v>210</v>
      </c>
    </row>
    <row r="63" spans="1:2" x14ac:dyDescent="0.35">
      <c r="A63" s="10">
        <f t="shared" si="0"/>
        <v>63</v>
      </c>
      <c r="B63" s="11" t="s">
        <v>286</v>
      </c>
    </row>
    <row r="64" spans="1:2" x14ac:dyDescent="0.35">
      <c r="A64" s="10">
        <f t="shared" si="0"/>
        <v>64</v>
      </c>
      <c r="B64" s="11" t="s">
        <v>287</v>
      </c>
    </row>
    <row r="65" spans="1:2" x14ac:dyDescent="0.35">
      <c r="A65" s="10">
        <f t="shared" si="0"/>
        <v>65</v>
      </c>
      <c r="B65" s="11" t="s">
        <v>288</v>
      </c>
    </row>
    <row r="66" spans="1:2" x14ac:dyDescent="0.35">
      <c r="A66" s="10">
        <f t="shared" si="0"/>
        <v>66</v>
      </c>
      <c r="B66" s="11" t="s">
        <v>289</v>
      </c>
    </row>
    <row r="67" spans="1:2" x14ac:dyDescent="0.35">
      <c r="A67" s="10">
        <f t="shared" ref="A67:A130" si="1">A66+1</f>
        <v>67</v>
      </c>
      <c r="B67" s="11" t="s">
        <v>290</v>
      </c>
    </row>
    <row r="68" spans="1:2" x14ac:dyDescent="0.35">
      <c r="A68" s="10">
        <f t="shared" si="1"/>
        <v>68</v>
      </c>
      <c r="B68" s="11" t="s">
        <v>291</v>
      </c>
    </row>
    <row r="69" spans="1:2" x14ac:dyDescent="0.35">
      <c r="A69" s="10">
        <f t="shared" si="1"/>
        <v>69</v>
      </c>
      <c r="B69" s="11" t="s">
        <v>292</v>
      </c>
    </row>
    <row r="70" spans="1:2" x14ac:dyDescent="0.35">
      <c r="A70" s="10">
        <f t="shared" si="1"/>
        <v>70</v>
      </c>
      <c r="B70" s="11" t="s">
        <v>211</v>
      </c>
    </row>
    <row r="71" spans="1:2" x14ac:dyDescent="0.35">
      <c r="A71" s="10">
        <f t="shared" si="1"/>
        <v>71</v>
      </c>
      <c r="B71" s="11" t="s">
        <v>212</v>
      </c>
    </row>
    <row r="72" spans="1:2" x14ac:dyDescent="0.35">
      <c r="A72" s="10">
        <f t="shared" si="1"/>
        <v>72</v>
      </c>
      <c r="B72" s="11" t="s">
        <v>293</v>
      </c>
    </row>
    <row r="73" spans="1:2" x14ac:dyDescent="0.35">
      <c r="A73" s="10">
        <f t="shared" si="1"/>
        <v>73</v>
      </c>
      <c r="B73" s="11" t="s">
        <v>294</v>
      </c>
    </row>
    <row r="74" spans="1:2" x14ac:dyDescent="0.35">
      <c r="A74" s="10">
        <f t="shared" si="1"/>
        <v>74</v>
      </c>
      <c r="B74" s="11" t="s">
        <v>295</v>
      </c>
    </row>
    <row r="75" spans="1:2" x14ac:dyDescent="0.35">
      <c r="A75" s="10">
        <f t="shared" si="1"/>
        <v>75</v>
      </c>
      <c r="B75" s="11" t="s">
        <v>296</v>
      </c>
    </row>
    <row r="76" spans="1:2" x14ac:dyDescent="0.35">
      <c r="A76" s="10">
        <f t="shared" si="1"/>
        <v>76</v>
      </c>
      <c r="B76" s="11" t="s">
        <v>297</v>
      </c>
    </row>
    <row r="77" spans="1:2" x14ac:dyDescent="0.35">
      <c r="A77" s="10">
        <f t="shared" si="1"/>
        <v>77</v>
      </c>
      <c r="B77" s="11" t="s">
        <v>298</v>
      </c>
    </row>
    <row r="78" spans="1:2" x14ac:dyDescent="0.35">
      <c r="A78" s="10">
        <f t="shared" si="1"/>
        <v>78</v>
      </c>
      <c r="B78" s="11" t="s">
        <v>213</v>
      </c>
    </row>
    <row r="79" spans="1:2" x14ac:dyDescent="0.35">
      <c r="A79" s="10">
        <f t="shared" si="1"/>
        <v>79</v>
      </c>
      <c r="B79" s="11" t="s">
        <v>299</v>
      </c>
    </row>
    <row r="80" spans="1:2" x14ac:dyDescent="0.35">
      <c r="A80" s="10">
        <f t="shared" si="1"/>
        <v>80</v>
      </c>
      <c r="B80" s="11" t="s">
        <v>214</v>
      </c>
    </row>
    <row r="81" spans="1:2" x14ac:dyDescent="0.35">
      <c r="A81" s="10">
        <f t="shared" si="1"/>
        <v>81</v>
      </c>
      <c r="B81" s="11" t="s">
        <v>300</v>
      </c>
    </row>
    <row r="82" spans="1:2" x14ac:dyDescent="0.35">
      <c r="A82" s="10">
        <f t="shared" si="1"/>
        <v>82</v>
      </c>
      <c r="B82" s="11" t="s">
        <v>215</v>
      </c>
    </row>
    <row r="83" spans="1:2" x14ac:dyDescent="0.35">
      <c r="A83" s="10">
        <f t="shared" si="1"/>
        <v>83</v>
      </c>
      <c r="B83" s="11" t="s">
        <v>216</v>
      </c>
    </row>
    <row r="84" spans="1:2" x14ac:dyDescent="0.35">
      <c r="A84" s="10">
        <f t="shared" si="1"/>
        <v>84</v>
      </c>
      <c r="B84" s="11" t="s">
        <v>301</v>
      </c>
    </row>
    <row r="85" spans="1:2" x14ac:dyDescent="0.35">
      <c r="A85" s="10">
        <f t="shared" si="1"/>
        <v>85</v>
      </c>
      <c r="B85" s="11" t="s">
        <v>302</v>
      </c>
    </row>
    <row r="86" spans="1:2" x14ac:dyDescent="0.35">
      <c r="A86" s="10">
        <f t="shared" si="1"/>
        <v>86</v>
      </c>
      <c r="B86" s="11" t="s">
        <v>303</v>
      </c>
    </row>
    <row r="87" spans="1:2" x14ac:dyDescent="0.35">
      <c r="A87" s="10">
        <f t="shared" si="1"/>
        <v>87</v>
      </c>
      <c r="B87" s="11" t="s">
        <v>304</v>
      </c>
    </row>
    <row r="88" spans="1:2" x14ac:dyDescent="0.35">
      <c r="A88" s="10">
        <f t="shared" si="1"/>
        <v>88</v>
      </c>
      <c r="B88" s="11" t="s">
        <v>305</v>
      </c>
    </row>
    <row r="89" spans="1:2" x14ac:dyDescent="0.35">
      <c r="A89" s="10">
        <f t="shared" si="1"/>
        <v>89</v>
      </c>
      <c r="B89" s="11" t="s">
        <v>217</v>
      </c>
    </row>
    <row r="90" spans="1:2" x14ac:dyDescent="0.35">
      <c r="A90" s="10">
        <f t="shared" si="1"/>
        <v>90</v>
      </c>
      <c r="B90" s="11" t="s">
        <v>306</v>
      </c>
    </row>
    <row r="91" spans="1:2" x14ac:dyDescent="0.35">
      <c r="A91" s="10">
        <f t="shared" si="1"/>
        <v>91</v>
      </c>
      <c r="B91" s="11" t="s">
        <v>307</v>
      </c>
    </row>
    <row r="92" spans="1:2" x14ac:dyDescent="0.35">
      <c r="A92" s="10">
        <f t="shared" si="1"/>
        <v>92</v>
      </c>
      <c r="B92" s="11" t="s">
        <v>308</v>
      </c>
    </row>
    <row r="93" spans="1:2" x14ac:dyDescent="0.35">
      <c r="A93" s="10">
        <f t="shared" si="1"/>
        <v>93</v>
      </c>
      <c r="B93" s="11" t="s">
        <v>309</v>
      </c>
    </row>
    <row r="94" spans="1:2" x14ac:dyDescent="0.35">
      <c r="A94" s="10">
        <f t="shared" si="1"/>
        <v>94</v>
      </c>
      <c r="B94" s="11" t="s">
        <v>218</v>
      </c>
    </row>
    <row r="95" spans="1:2" x14ac:dyDescent="0.35">
      <c r="A95" s="10">
        <f t="shared" si="1"/>
        <v>95</v>
      </c>
      <c r="B95" s="11" t="s">
        <v>310</v>
      </c>
    </row>
    <row r="96" spans="1:2" x14ac:dyDescent="0.35">
      <c r="A96" s="10">
        <f t="shared" si="1"/>
        <v>96</v>
      </c>
      <c r="B96" s="11" t="s">
        <v>311</v>
      </c>
    </row>
    <row r="97" spans="1:2" x14ac:dyDescent="0.35">
      <c r="A97" s="10">
        <f t="shared" si="1"/>
        <v>97</v>
      </c>
      <c r="B97" s="11" t="s">
        <v>312</v>
      </c>
    </row>
    <row r="98" spans="1:2" x14ac:dyDescent="0.35">
      <c r="A98" s="10">
        <f t="shared" si="1"/>
        <v>98</v>
      </c>
      <c r="B98" s="11" t="s">
        <v>313</v>
      </c>
    </row>
    <row r="99" spans="1:2" x14ac:dyDescent="0.35">
      <c r="A99" s="10">
        <f t="shared" si="1"/>
        <v>99</v>
      </c>
      <c r="B99" s="11" t="s">
        <v>314</v>
      </c>
    </row>
    <row r="100" spans="1:2" x14ac:dyDescent="0.35">
      <c r="A100" s="10">
        <f t="shared" si="1"/>
        <v>100</v>
      </c>
      <c r="B100" s="11" t="s">
        <v>219</v>
      </c>
    </row>
    <row r="101" spans="1:2" x14ac:dyDescent="0.35">
      <c r="A101" s="10">
        <f t="shared" si="1"/>
        <v>101</v>
      </c>
      <c r="B101" s="11" t="s">
        <v>315</v>
      </c>
    </row>
    <row r="102" spans="1:2" x14ac:dyDescent="0.35">
      <c r="A102" s="10">
        <f t="shared" si="1"/>
        <v>102</v>
      </c>
      <c r="B102" s="11" t="s">
        <v>220</v>
      </c>
    </row>
    <row r="103" spans="1:2" x14ac:dyDescent="0.35">
      <c r="A103" s="10">
        <f t="shared" si="1"/>
        <v>103</v>
      </c>
      <c r="B103" s="11" t="s">
        <v>221</v>
      </c>
    </row>
    <row r="104" spans="1:2" x14ac:dyDescent="0.35">
      <c r="A104" s="10">
        <f t="shared" si="1"/>
        <v>104</v>
      </c>
      <c r="B104" s="11" t="s">
        <v>222</v>
      </c>
    </row>
    <row r="105" spans="1:2" x14ac:dyDescent="0.35">
      <c r="A105" s="10">
        <f t="shared" si="1"/>
        <v>105</v>
      </c>
      <c r="B105" s="11" t="s">
        <v>223</v>
      </c>
    </row>
    <row r="106" spans="1:2" x14ac:dyDescent="0.35">
      <c r="A106" s="10">
        <f t="shared" si="1"/>
        <v>106</v>
      </c>
      <c r="B106" s="11" t="s">
        <v>316</v>
      </c>
    </row>
    <row r="107" spans="1:2" x14ac:dyDescent="0.35">
      <c r="A107" s="10">
        <f t="shared" si="1"/>
        <v>107</v>
      </c>
      <c r="B107" s="11" t="s">
        <v>317</v>
      </c>
    </row>
    <row r="108" spans="1:2" x14ac:dyDescent="0.35">
      <c r="A108" s="10">
        <f t="shared" si="1"/>
        <v>108</v>
      </c>
      <c r="B108" s="11" t="s">
        <v>318</v>
      </c>
    </row>
    <row r="109" spans="1:2" x14ac:dyDescent="0.35">
      <c r="A109" s="10">
        <f t="shared" si="1"/>
        <v>109</v>
      </c>
      <c r="B109" s="11" t="s">
        <v>319</v>
      </c>
    </row>
    <row r="110" spans="1:2" x14ac:dyDescent="0.35">
      <c r="A110" s="10">
        <f t="shared" si="1"/>
        <v>110</v>
      </c>
      <c r="B110" s="11" t="s">
        <v>320</v>
      </c>
    </row>
    <row r="111" spans="1:2" x14ac:dyDescent="0.35">
      <c r="A111" s="10">
        <f t="shared" si="1"/>
        <v>111</v>
      </c>
      <c r="B111" s="11" t="s">
        <v>321</v>
      </c>
    </row>
    <row r="112" spans="1:2" x14ac:dyDescent="0.35">
      <c r="A112" s="10">
        <f t="shared" si="1"/>
        <v>112</v>
      </c>
      <c r="B112" s="11" t="s">
        <v>322</v>
      </c>
    </row>
    <row r="113" spans="1:2" x14ac:dyDescent="0.35">
      <c r="A113" s="10">
        <f t="shared" si="1"/>
        <v>113</v>
      </c>
      <c r="B113" s="11" t="s">
        <v>323</v>
      </c>
    </row>
    <row r="114" spans="1:2" x14ac:dyDescent="0.35">
      <c r="A114" s="10">
        <f t="shared" si="1"/>
        <v>114</v>
      </c>
      <c r="B114" s="11" t="s">
        <v>324</v>
      </c>
    </row>
    <row r="115" spans="1:2" x14ac:dyDescent="0.35">
      <c r="A115" s="10">
        <f t="shared" si="1"/>
        <v>115</v>
      </c>
      <c r="B115" s="11" t="s">
        <v>325</v>
      </c>
    </row>
    <row r="116" spans="1:2" x14ac:dyDescent="0.35">
      <c r="A116" s="10">
        <f t="shared" si="1"/>
        <v>116</v>
      </c>
      <c r="B116" s="11" t="s">
        <v>326</v>
      </c>
    </row>
    <row r="117" spans="1:2" x14ac:dyDescent="0.35">
      <c r="A117" s="10">
        <f t="shared" si="1"/>
        <v>117</v>
      </c>
      <c r="B117" s="11" t="s">
        <v>327</v>
      </c>
    </row>
    <row r="118" spans="1:2" x14ac:dyDescent="0.35">
      <c r="A118" s="10">
        <f t="shared" si="1"/>
        <v>118</v>
      </c>
      <c r="B118" s="11" t="s">
        <v>328</v>
      </c>
    </row>
    <row r="119" spans="1:2" x14ac:dyDescent="0.35">
      <c r="A119" s="10">
        <f t="shared" si="1"/>
        <v>119</v>
      </c>
      <c r="B119" s="11" t="s">
        <v>329</v>
      </c>
    </row>
    <row r="120" spans="1:2" x14ac:dyDescent="0.35">
      <c r="A120" s="10">
        <f t="shared" si="1"/>
        <v>120</v>
      </c>
      <c r="B120" s="11" t="s">
        <v>330</v>
      </c>
    </row>
    <row r="121" spans="1:2" x14ac:dyDescent="0.35">
      <c r="A121" s="10">
        <f t="shared" si="1"/>
        <v>121</v>
      </c>
      <c r="B121" s="11" t="s">
        <v>331</v>
      </c>
    </row>
    <row r="122" spans="1:2" x14ac:dyDescent="0.35">
      <c r="A122" s="10">
        <f t="shared" si="1"/>
        <v>122</v>
      </c>
      <c r="B122" s="11" t="s">
        <v>332</v>
      </c>
    </row>
    <row r="123" spans="1:2" x14ac:dyDescent="0.35">
      <c r="A123" s="10">
        <f t="shared" si="1"/>
        <v>123</v>
      </c>
      <c r="B123" s="11" t="s">
        <v>333</v>
      </c>
    </row>
    <row r="124" spans="1:2" x14ac:dyDescent="0.35">
      <c r="A124" s="10">
        <f t="shared" si="1"/>
        <v>124</v>
      </c>
      <c r="B124" s="11" t="s">
        <v>334</v>
      </c>
    </row>
    <row r="125" spans="1:2" x14ac:dyDescent="0.35">
      <c r="A125" s="10">
        <f t="shared" si="1"/>
        <v>125</v>
      </c>
      <c r="B125" s="11" t="s">
        <v>335</v>
      </c>
    </row>
    <row r="126" spans="1:2" x14ac:dyDescent="0.35">
      <c r="A126" s="10">
        <f t="shared" si="1"/>
        <v>126</v>
      </c>
      <c r="B126" s="11" t="s">
        <v>336</v>
      </c>
    </row>
    <row r="127" spans="1:2" x14ac:dyDescent="0.35">
      <c r="A127" s="10">
        <f t="shared" si="1"/>
        <v>127</v>
      </c>
      <c r="B127" s="11" t="s">
        <v>337</v>
      </c>
    </row>
    <row r="128" spans="1:2" x14ac:dyDescent="0.35">
      <c r="A128" s="10">
        <f t="shared" si="1"/>
        <v>128</v>
      </c>
      <c r="B128" s="11" t="s">
        <v>338</v>
      </c>
    </row>
    <row r="129" spans="1:2" x14ac:dyDescent="0.35">
      <c r="A129" s="10">
        <f t="shared" si="1"/>
        <v>129</v>
      </c>
      <c r="B129" s="11" t="s">
        <v>339</v>
      </c>
    </row>
    <row r="130" spans="1:2" x14ac:dyDescent="0.35">
      <c r="A130" s="10">
        <f t="shared" si="1"/>
        <v>130</v>
      </c>
      <c r="B130" s="11" t="s">
        <v>340</v>
      </c>
    </row>
    <row r="131" spans="1:2" x14ac:dyDescent="0.35">
      <c r="A131" s="10">
        <f t="shared" ref="A131:A164" si="2">A130+1</f>
        <v>131</v>
      </c>
      <c r="B131" s="11" t="s">
        <v>341</v>
      </c>
    </row>
    <row r="132" spans="1:2" x14ac:dyDescent="0.35">
      <c r="A132" s="10">
        <f t="shared" si="2"/>
        <v>132</v>
      </c>
      <c r="B132" s="11" t="s">
        <v>342</v>
      </c>
    </row>
    <row r="133" spans="1:2" x14ac:dyDescent="0.35">
      <c r="A133" s="10">
        <f t="shared" si="2"/>
        <v>133</v>
      </c>
      <c r="B133" s="11" t="s">
        <v>343</v>
      </c>
    </row>
    <row r="134" spans="1:2" x14ac:dyDescent="0.35">
      <c r="A134" s="10">
        <f t="shared" si="2"/>
        <v>134</v>
      </c>
      <c r="B134" s="11" t="s">
        <v>344</v>
      </c>
    </row>
    <row r="135" spans="1:2" x14ac:dyDescent="0.35">
      <c r="A135" s="10">
        <f t="shared" si="2"/>
        <v>135</v>
      </c>
      <c r="B135" s="11" t="s">
        <v>345</v>
      </c>
    </row>
    <row r="136" spans="1:2" x14ac:dyDescent="0.35">
      <c r="A136" s="10">
        <f t="shared" si="2"/>
        <v>136</v>
      </c>
      <c r="B136" s="11" t="s">
        <v>346</v>
      </c>
    </row>
    <row r="137" spans="1:2" x14ac:dyDescent="0.35">
      <c r="A137" s="10">
        <f t="shared" si="2"/>
        <v>137</v>
      </c>
      <c r="B137" s="11" t="s">
        <v>347</v>
      </c>
    </row>
    <row r="138" spans="1:2" x14ac:dyDescent="0.35">
      <c r="A138" s="10">
        <f t="shared" si="2"/>
        <v>138</v>
      </c>
      <c r="B138" s="11" t="s">
        <v>348</v>
      </c>
    </row>
    <row r="139" spans="1:2" x14ac:dyDescent="0.35">
      <c r="A139" s="10">
        <f t="shared" si="2"/>
        <v>139</v>
      </c>
      <c r="B139" s="11" t="s">
        <v>349</v>
      </c>
    </row>
    <row r="140" spans="1:2" x14ac:dyDescent="0.35">
      <c r="A140" s="10">
        <f t="shared" si="2"/>
        <v>140</v>
      </c>
      <c r="B140" s="11" t="s">
        <v>350</v>
      </c>
    </row>
    <row r="141" spans="1:2" x14ac:dyDescent="0.35">
      <c r="A141" s="10">
        <f t="shared" si="2"/>
        <v>141</v>
      </c>
      <c r="B141" s="11" t="s">
        <v>351</v>
      </c>
    </row>
    <row r="142" spans="1:2" x14ac:dyDescent="0.35">
      <c r="A142" s="10">
        <f t="shared" si="2"/>
        <v>142</v>
      </c>
      <c r="B142" s="11" t="s">
        <v>352</v>
      </c>
    </row>
    <row r="143" spans="1:2" x14ac:dyDescent="0.35">
      <c r="A143" s="10">
        <f t="shared" si="2"/>
        <v>143</v>
      </c>
      <c r="B143" s="11" t="s">
        <v>353</v>
      </c>
    </row>
    <row r="144" spans="1:2" x14ac:dyDescent="0.35">
      <c r="A144" s="10">
        <f t="shared" si="2"/>
        <v>144</v>
      </c>
      <c r="B144" s="11" t="s">
        <v>354</v>
      </c>
    </row>
    <row r="145" spans="1:2" x14ac:dyDescent="0.35">
      <c r="A145" s="10">
        <f t="shared" si="2"/>
        <v>145</v>
      </c>
      <c r="B145" s="11" t="s">
        <v>355</v>
      </c>
    </row>
    <row r="146" spans="1:2" x14ac:dyDescent="0.35">
      <c r="A146" s="10">
        <f t="shared" si="2"/>
        <v>146</v>
      </c>
      <c r="B146" s="11" t="s">
        <v>356</v>
      </c>
    </row>
    <row r="147" spans="1:2" x14ac:dyDescent="0.35">
      <c r="A147" s="10">
        <f t="shared" si="2"/>
        <v>147</v>
      </c>
      <c r="B147" s="11" t="s">
        <v>224</v>
      </c>
    </row>
    <row r="148" spans="1:2" x14ac:dyDescent="0.35">
      <c r="A148" s="10">
        <f t="shared" si="2"/>
        <v>148</v>
      </c>
      <c r="B148" s="11" t="s">
        <v>357</v>
      </c>
    </row>
    <row r="149" spans="1:2" x14ac:dyDescent="0.35">
      <c r="A149" s="10">
        <f t="shared" si="2"/>
        <v>149</v>
      </c>
      <c r="B149" s="11" t="s">
        <v>358</v>
      </c>
    </row>
    <row r="150" spans="1:2" x14ac:dyDescent="0.35">
      <c r="A150" s="10">
        <f t="shared" si="2"/>
        <v>150</v>
      </c>
      <c r="B150" s="11" t="s">
        <v>359</v>
      </c>
    </row>
    <row r="151" spans="1:2" x14ac:dyDescent="0.35">
      <c r="A151" s="10">
        <f t="shared" si="2"/>
        <v>151</v>
      </c>
      <c r="B151" s="13" t="s">
        <v>372</v>
      </c>
    </row>
    <row r="152" spans="1:2" x14ac:dyDescent="0.35">
      <c r="A152" s="10">
        <f t="shared" si="2"/>
        <v>152</v>
      </c>
      <c r="B152" s="11" t="s">
        <v>360</v>
      </c>
    </row>
    <row r="153" spans="1:2" x14ac:dyDescent="0.35">
      <c r="A153" s="10">
        <f t="shared" si="2"/>
        <v>153</v>
      </c>
      <c r="B153" s="11" t="s">
        <v>225</v>
      </c>
    </row>
    <row r="154" spans="1:2" x14ac:dyDescent="0.35">
      <c r="A154" s="10">
        <f t="shared" si="2"/>
        <v>154</v>
      </c>
      <c r="B154" s="11" t="s">
        <v>226</v>
      </c>
    </row>
    <row r="155" spans="1:2" x14ac:dyDescent="0.35">
      <c r="A155" s="10">
        <f t="shared" si="2"/>
        <v>155</v>
      </c>
      <c r="B155" s="11" t="s">
        <v>361</v>
      </c>
    </row>
    <row r="156" spans="1:2" x14ac:dyDescent="0.35">
      <c r="A156" s="10">
        <f t="shared" si="2"/>
        <v>156</v>
      </c>
      <c r="B156" s="11" t="s">
        <v>362</v>
      </c>
    </row>
    <row r="157" spans="1:2" x14ac:dyDescent="0.35">
      <c r="A157" s="10">
        <f t="shared" si="2"/>
        <v>157</v>
      </c>
      <c r="B157" s="11" t="s">
        <v>363</v>
      </c>
    </row>
    <row r="158" spans="1:2" x14ac:dyDescent="0.35">
      <c r="A158" s="10">
        <f t="shared" si="2"/>
        <v>158</v>
      </c>
      <c r="B158" s="11" t="s">
        <v>364</v>
      </c>
    </row>
    <row r="159" spans="1:2" x14ac:dyDescent="0.35">
      <c r="A159" s="10">
        <f t="shared" si="2"/>
        <v>159</v>
      </c>
      <c r="B159" s="11" t="s">
        <v>365</v>
      </c>
    </row>
    <row r="160" spans="1:2" x14ac:dyDescent="0.35">
      <c r="A160" s="10">
        <f t="shared" si="2"/>
        <v>160</v>
      </c>
      <c r="B160" s="11" t="s">
        <v>366</v>
      </c>
    </row>
    <row r="161" spans="1:2" x14ac:dyDescent="0.35">
      <c r="A161" s="10">
        <f t="shared" si="2"/>
        <v>161</v>
      </c>
      <c r="B161" s="11" t="s">
        <v>367</v>
      </c>
    </row>
    <row r="162" spans="1:2" x14ac:dyDescent="0.35">
      <c r="A162" s="10">
        <f t="shared" si="2"/>
        <v>162</v>
      </c>
      <c r="B162" s="11" t="s">
        <v>368</v>
      </c>
    </row>
    <row r="163" spans="1:2" x14ac:dyDescent="0.35">
      <c r="A163" s="10">
        <f t="shared" si="2"/>
        <v>163</v>
      </c>
      <c r="B163" s="11" t="s">
        <v>369</v>
      </c>
    </row>
    <row r="164" spans="1:2" x14ac:dyDescent="0.35">
      <c r="A164" s="10">
        <f t="shared" si="2"/>
        <v>164</v>
      </c>
      <c r="B164" s="11" t="s">
        <v>370</v>
      </c>
    </row>
    <row r="165" spans="1:2" x14ac:dyDescent="0.35">
      <c r="A165" s="10">
        <v>165</v>
      </c>
      <c r="B165" s="13" t="s">
        <v>231</v>
      </c>
    </row>
    <row r="166" spans="1:2" x14ac:dyDescent="0.35">
      <c r="A166" s="10">
        <v>166</v>
      </c>
      <c r="B166" s="13" t="s">
        <v>229</v>
      </c>
    </row>
    <row r="167" spans="1:2" x14ac:dyDescent="0.35">
      <c r="A167" s="10">
        <v>167</v>
      </c>
      <c r="B167" s="13" t="s">
        <v>227</v>
      </c>
    </row>
    <row r="168" spans="1:2" x14ac:dyDescent="0.35">
      <c r="A168" s="10">
        <v>168</v>
      </c>
      <c r="B168" s="13" t="s">
        <v>230</v>
      </c>
    </row>
    <row r="169" spans="1:2" x14ac:dyDescent="0.35">
      <c r="A169" s="10">
        <v>169</v>
      </c>
      <c r="B169" s="13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6A24-3BDB-41AE-BBBD-0149F4C8A71D}">
  <dimension ref="A1:A5"/>
  <sheetViews>
    <sheetView workbookViewId="0">
      <selection activeCell="A7" sqref="A7"/>
    </sheetView>
  </sheetViews>
  <sheetFormatPr defaultRowHeight="14.5" x14ac:dyDescent="0.35"/>
  <cols>
    <col min="1" max="1" width="107.54296875" customWidth="1"/>
  </cols>
  <sheetData>
    <row r="1" spans="1:1" ht="15.5" x14ac:dyDescent="0.35">
      <c r="A1" s="3" t="s">
        <v>168</v>
      </c>
    </row>
    <row r="2" spans="1:1" ht="101.5" x14ac:dyDescent="0.35">
      <c r="A2" s="2" t="s">
        <v>202</v>
      </c>
    </row>
    <row r="3" spans="1:1" ht="29" x14ac:dyDescent="0.35">
      <c r="A3" s="2" t="s">
        <v>171</v>
      </c>
    </row>
    <row r="4" spans="1:1" ht="43.5" x14ac:dyDescent="0.35">
      <c r="A4" s="5" t="s">
        <v>169</v>
      </c>
    </row>
    <row r="5" spans="1:1" ht="29" x14ac:dyDescent="0.35">
      <c r="A5" s="4" t="s">
        <v>170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odontocete</vt:lpstr>
      <vt:lpstr>References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Ferguson, Steve (he, him / il, lui) (DFO/MPO)</dc:creator>
  <cp:lastModifiedBy>Ferguson, Steve (he, him / il, lui) (DFO/MPO)</cp:lastModifiedBy>
  <dcterms:created xsi:type="dcterms:W3CDTF">2026-03-31T12:55:17Z</dcterms:created>
  <dcterms:modified xsi:type="dcterms:W3CDTF">2026-04-09T19:59:14Z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2026-03-31T14:58:47Z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22e6a181-ee4e-4f13-99e7-10b64f351eaa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